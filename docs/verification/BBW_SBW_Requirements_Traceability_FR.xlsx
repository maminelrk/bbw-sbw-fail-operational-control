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15445e21f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eecb23440395493e"/>
    <x:sheet xmlns:r="http://schemas.openxmlformats.org/officeDocument/2006/relationships" name="Traceability Matrix" sheetId="2" r:id="R06b9622361214f4b"/>
    <x:sheet xmlns:r="http://schemas.openxmlformats.org/officeDocument/2006/relationships" name="Test Catalog" sheetId="3" r:id="R2190a724bc8b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#,##0.0"/>
    <x:numFmt numFmtId="201" formatCode="0.000"/>
  </x:numFmts>
  <x:fonts count="23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14"/>
      <x:color rgb="FF35277F"/>
      <x:name val="Arial"/>
    </x:font>
    <x:font>
      <x:b/>
      <x:sz val="9"/>
      <x:color rgb="FF1F2937"/>
      <x:name val="Arial"/>
    </x:font>
    <x:font>
      <x:b/>
      <x:sz val="9"/>
      <x:color rgb="FF35277F"/>
      <x:name val="Arial"/>
    </x:font>
    <x:font>
      <x:sz val="9"/>
      <x:color rgb="FF1F2937"/>
      <x:name val="Arial"/>
    </x:font>
    <x:font>
      <x:b/>
      <x:sz val="11"/>
      <x:color rgb="FFFFFFFF"/>
      <x:name val="Arial"/>
    </x:font>
    <x:font>
      <x:b/>
      <x:sz val="16"/>
      <x:color rgb="FF35277F"/>
      <x:name val="Arial"/>
    </x:font>
    <x:font>
      <x:i/>
      <x:sz val="10"/>
      <x:color rgb="FF5B6472"/>
      <x:name val="Arial"/>
    </x:font>
    <x:font>
      <x:b/>
      <x:sz val="16"/>
      <x:color rgb="FFFFFFFF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35277F"/>
      </x:patternFill>
    </x:fill>
    <x:fill>
      <x:patternFill patternType="solid">
        <x:fgColor rgb="FFEEEAFB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  <x:fill>
      <x:patternFill patternType="solid">
        <x:fgColor rgb="FFEEEAFB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0" fontId="5" fillId="9" borderId="3" xfId="0" applyNumberFormat="1" applyFont="1" applyFill="1" applyBorder="1" applyAlignment="1">
      <x:alignment horizontal="center" vertical="center"/>
    </x:xf>
    <x:xf numFmtId="0" fontId="5" fillId="9" borderId="4" xfId="0" applyNumberFormat="1" applyFont="1" applyFill="1" applyBorder="1" applyAlignment="1">
      <x:alignment horizontal="center" vertical="center"/>
    </x:xf>
    <x:xf numFmtId="0" fontId="5" fillId="9" borderId="5" xfId="0" applyNumberFormat="1" applyFont="1" applyFill="1" applyBorder="1" applyAlignment="1">
      <x:alignment horizontal="center" vertical="center"/>
    </x:xf>
    <x:xf numFmtId="165" fontId="6" fillId="10" borderId="3" xfId="0" applyNumberFormat="1" applyFont="1" applyFill="1" applyBorder="1" applyAlignment="1">
      <x:alignment horizontal="center" vertical="center"/>
    </x:xf>
    <x:xf numFmtId="165" fontId="6" fillId="10" borderId="4" xfId="0" applyNumberFormat="1" applyFont="1" applyFill="1" applyBorder="1" applyAlignment="1">
      <x:alignment horizontal="center" vertical="center"/>
    </x:xf>
    <x:xf numFmtId="165" fontId="6" fillId="10" borderId="5" xfId="0" applyNumberFormat="1" applyFont="1" applyFill="1" applyBorder="1" applyAlignment="1">
      <x:alignment horizontal="center" vertical="center"/>
    </x:xf>
    <x:xf numFmtId="165" fontId="7" fillId="10" borderId="3" xfId="0" applyNumberFormat="1" applyFont="1" applyFill="1" applyBorder="1" applyAlignment="1">
      <x:alignment horizontal="center" vertical="center"/>
    </x:xf>
    <x:xf numFmtId="165" fontId="7" fillId="10" borderId="4" xfId="0" applyNumberFormat="1" applyFont="1" applyFill="1" applyBorder="1" applyAlignment="1">
      <x:alignment horizontal="center" vertical="center"/>
    </x:xf>
    <x:xf numFmtId="165" fontId="15" fillId="10" borderId="3" xfId="0" applyNumberFormat="1" applyFont="1" applyFill="1" applyBorder="1" applyAlignment="1">
      <x:alignment horizontal="center" vertical="center"/>
    </x:xf>
    <x:xf numFmtId="165" fontId="15" fillId="10" borderId="4" xfId="0" applyNumberFormat="1" applyFont="1" applyFill="1" applyBorder="1" applyAlignment="1">
      <x:alignment horizontal="center" vertical="center"/>
    </x:xf>
    <x:xf numFmtId="165" fontId="15" fillId="10" borderId="5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4" fillId="9" borderId="13" xfId="0" applyNumberFormat="1" applyFont="1" applyFill="1" applyBorder="1" applyAlignment="1">
      <x:alignment horizontal="center" vertical="center" wrapText="1"/>
    </x:xf>
    <x:xf numFmtId="0" fontId="10" fillId="9" borderId="12" xfId="0" applyNumberFormat="1" applyFont="1" applyFill="1" applyBorder="1" applyAlignment="1">
      <x:alignment horizontal="center" vertical="center" wrapText="1"/>
    </x:xf>
    <x:xf numFmtId="0" fontId="10" fillId="9" borderId="13" xfId="0" applyNumberFormat="1" applyFont="1" applyFill="1" applyBorder="1" applyAlignment="1">
      <x:alignment horizontal="center" vertical="center" wrapText="1"/>
    </x:xf>
    <x:xf numFmtId="0" fontId="14" fillId="11" borderId="2" xfId="0" applyNumberFormat="1" applyFont="1" applyFill="1" applyBorder="1" applyAlignment="1">
      <x:alignment horizontal="left" vertical="center"/>
    </x:xf>
    <x:xf numFmtId="0" fontId="16" fillId="11" borderId="2" xfId="0" applyNumberFormat="1" applyFont="1" applyFill="1" applyBorder="1" applyAlignment="1">
      <x:alignment horizontal="left" vertical="center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17" fillId="10" borderId="1" xfId="0" applyNumberFormat="1" applyFont="1" applyFill="1" applyBorder="1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center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17" fillId="10" borderId="12" xfId="0" applyNumberFormat="1" applyFont="1" applyFill="1" applyBorder="1" applyAlignment="1">
      <x:alignment horizontal="center" vertical="center" wrapText="1"/>
    </x:xf>
    <x:xf numFmtId="0" fontId="17" fillId="10" borderId="13" xfId="0" applyNumberFormat="1" applyFont="1" applyFill="1" applyBorder="1" applyAlignment="1">
      <x:alignment horizontal="center" vertical="center" wrapText="1"/>
    </x:xf>
    <x:xf numFmtId="0" fontId="14" fillId="12" borderId="2" xfId="0" applyNumberFormat="1" applyFont="1" applyFill="1" applyBorder="1" applyAlignment="1">
      <x:alignment horizontal="left" vertical="center"/>
    </x:xf>
    <x:xf numFmtId="0" fontId="18" fillId="12" borderId="2" xfId="0" applyNumberFormat="1" applyFont="1" applyFill="1" applyBorder="1" applyAlignment="1">
      <x:alignment horizontal="left" vertical="center"/>
    </x:xf>
    <x:xf numFmtId="164" fontId="14" fillId="12" borderId="2" xfId="0" applyNumberFormat="1" applyFont="1" applyFill="1" applyBorder="1" applyAlignment="1">
      <x:alignment horizontal="left" vertical="center"/>
    </x:xf>
    <x:xf numFmtId="164" fontId="18" fillId="12" borderId="2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9" fillId="9" borderId="0" xfId="0" applyNumberFormat="1" applyFont="1" applyFill="1" applyBorder="1"/>
    <x:xf numFmtId="0" fontId="19" fillId="9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0" fillId="0" borderId="0" xfId="0" applyNumberFormat="1" applyFont="1" applyFill="1" applyBorder="1"/>
    <x:xf numFmtId="0" fontId="20" fillId="0" borderId="0" xfId="0" applyNumberFormat="1" applyFont="1" applyFill="1" applyBorder="1" applyAlignment="1">
      <x:alignment vertical="top"/>
    </x:xf>
    <x:xf numFmtId="0" fontId="2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0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200" fontId="0" fillId="12" borderId="0" xfId="0" applyNumberFormat="1" applyFont="1" applyFill="1" applyBorder="1" applyAlignment="1">
      <x:alignment vertical="top" wrapText="1"/>
    </x:xf>
    <x:xf numFmtId="201" fontId="0" fillId="10" borderId="0" xfId="0" applyNumberFormat="1" applyFont="1" applyFill="1" applyBorder="1" applyAlignment="1">
      <x:alignment vertical="top" wrapText="1"/>
    </x:xf>
    <x:xf numFmtId="201" fontId="0" fillId="1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/>
    </x:xf>
    <x:xf numFmtId="0" fontId="22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27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087A65"/>
      </x:font>
      <x:fill>
        <x:patternFill>
          <x:bgColor rgb="FFE2F5F1"/>
        </x:patternFill>
      </x:fill>
    </x:dxf>
    <x:dxf>
      <x:font>
        <x:b/>
        <x:color rgb="FF087A65"/>
      </x:font>
      <x:fill>
        <x:patternFill>
          <x:bgColor rgb="FFE2F5F1"/>
        </x:patternFill>
      </x:fill>
    </x:dxf>
    <x:dxf>
      <x:font>
        <x:b/>
        <x:color rgb="FFA61B38"/>
      </x:font>
      <x:fill>
        <x:patternFill>
          <x:bgColor rgb="FFFDE8EC"/>
        </x:patternFill>
      </x:fill>
    </x:dxf>
    <x:dxf>
      <x:font>
        <x:b/>
        <x:color rgb="FF2949A3"/>
      </x:font>
      <x:fill>
        <x:patternFill>
          <x:bgColor rgb="FFEAF0FF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087A65"/>
      </x:font>
      <x:fill>
        <x:patternFill>
          <x:bgColor rgb="FFE2F5F1"/>
        </x:patternFill>
      </x:fill>
    </x:dxf>
    <x:dxf>
      <x:font>
        <x:b/>
        <x:color rgb="FFA61B38"/>
      </x:font>
      <x:fill>
        <x:patternFill>
          <x:bgColor rgb="FFFDE8EC"/>
        </x:patternFill>
      </x:fill>
    </x:dxf>
    <x:dxf>
      <x:font>
        <x:b/>
        <x:color rgb="FF2949A3"/>
      </x:font>
      <x:fill>
        <x:patternFill>
          <x:bgColor rgb="FFEAF0FF"/>
        </x:patternFill>
      </x:fill>
    </x:dxf>
    <x:dxf>
      <x:font>
        <x:b/>
        <x:color rgb="FF087A65"/>
      </x:font>
      <x:fill>
        <x:patternFill patternType="solid">
          <x:bgColor rgb="FFE2F5F1"/>
        </x:patternFill>
      </x:fill>
    </x:dxf>
    <x:dxf>
      <x:font>
        <x:b/>
        <x:color rgb="FFA61B38"/>
      </x:font>
      <x:fill>
        <x:patternFill patternType="solid">
          <x:bgColor rgb="FFFDE8EC"/>
        </x:patternFill>
      </x:fill>
    </x:dxf>
    <x:dxf>
      <x:font>
        <x:b/>
        <x:color rgb="FF2949A3"/>
      </x:font>
      <x:fill>
        <x:patternFill patternType="solid">
          <x:bgColor rgb="FFEAF0F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087A65"/>
      </x:font>
      <x:fill>
        <x:patternFill patternType="solid">
          <x:bgColor rgb="FFE2F5F1"/>
        </x:patternFill>
      </x:fill>
    </x:dxf>
    <x:dxf>
      <x:font>
        <x:b/>
        <x:color rgb="FFA61B38"/>
      </x:font>
      <x:fill>
        <x:patternFill patternType="solid">
          <x:bgColor rgb="FFFDE8EC"/>
        </x:patternFill>
      </x:fill>
    </x:dxf>
    <x:dxf>
      <x:font>
        <x:b/>
        <x:color rgb="FF2949A3"/>
      </x:font>
      <x:fill>
        <x:patternFill patternType="solid">
          <x:bgColor rgb="FFEAF0FF"/>
        </x:patternFill>
      </x:fill>
    </x:dxf>
    <x:dxf>
      <x:font>
        <x:b/>
        <x:color rgb="FF087A65"/>
      </x:font>
      <x:fill>
        <x:patternFill patternType="solid">
          <x:bgColor rgb="FFE2F5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f31bd1a324087" /><Relationship Type="http://schemas.openxmlformats.org/officeDocument/2006/relationships/theme" Target="/xl/theme/theme1.xml" Id="R75d6a7f2ff874203" /><Relationship Type="http://schemas.openxmlformats.org/officeDocument/2006/relationships/sharedStrings" Target="/xl/sharedStrings.xml" Id="Rfa522cb45bf84e7e" /><Relationship Type="http://schemas.openxmlformats.org/officeDocument/2006/relationships/worksheet" Target="/xl/worksheets/sheet1.xml" Id="Reecb23440395493e" /><Relationship Type="http://schemas.openxmlformats.org/officeDocument/2006/relationships/worksheet" Target="/xl/worksheets/sheet2.xml" Id="R06b9622361214f4b" /><Relationship Type="http://schemas.openxmlformats.org/officeDocument/2006/relationships/worksheet" Target="/xl/worksheets/sheet3.xml" Id="R2190a724bc8b4a47" /></Relationships>
</file>

<file path=xl/tables/table1.xml><?xml version="1.0" encoding="utf-8"?>
<x:table xmlns:x="http://schemas.openxmlformats.org/spreadsheetml/2006/main" id="1" name="ValidationWorkstreams" displayName="ValidationWorkstreams" ref="B9:I20" headerRowCount="1" totalsRowCount="0" totalsRowShown="0">
  <x:tableColumns count="8">
    <x:tableColumn id="1" name="Workstream"/>
    <x:tableColumn id="2" name="Verification item"/>
    <x:tableColumn id="3" name="Owner"/>
    <x:tableColumn id="4" name="Status"/>
    <x:tableColumn id="5" name="Priority"/>
    <x:tableColumn id="6" name="Evidence"/>
    <x:tableColumn id="7" name="Requirement"/>
    <x:tableColumn id="8" name="Next act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raceabilityTable" displayName="TraceabilityTable" ref="A4:L16" headerRowCount="1" totalsRowCount="0" totalsRowShown="0">
  <x:tableColumns count="12">
    <x:tableColumn id="1" name="Requirement"/>
    <x:tableColumn id="2" name="Clause"/>
    <x:tableColumn id="3" name="Verification ID"/>
    <x:tableColumn id="4" name="Scope"/>
    <x:tableColumn id="5" name="Verification item"/>
    <x:tableColumn id="6" name="MATLAB entry point"/>
    <x:tableColumn id="7" name="Scenario IDs"/>
    <x:tableColumn id="8" name="Numeric criterion"/>
    <x:tableColumn id="9" name="Evidence output"/>
    <x:tableColumn id="10" name="Status"/>
    <x:tableColumn id="11" name="Gate"/>
    <x:tableColumn id="12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estCatalogTable" displayName="TestCatalogTable" ref="A4:J23" headerRowCount="1" totalsRowCount="0" totalsRowShown="0">
  <x:tableColumns count="10">
    <x:tableColumn id="1" name="ID du test"/>
    <x:tableColumn id="2" name="Type"/>
    <x:tableColumn id="3" name="Nom"/>
    <x:tableColumn id="4" name="Demande Fx [N]"/>
    <x:tableColumn id="5" name="Demande Mz [N m]"/>
    <x:tableColumn id="6" name="Scénario de défaut"/>
    <x:tableColumn id="7" name="Instant du défaut [s]"/>
    <x:tableColumn id="8" name="Exigences"/>
    <x:tableColumn id="9" name="Preuve principale"/>
    <x:tableColumn id="10" name="Éta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29be27b444f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d1ee16b3cc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82a391c9c5472d" /></Relationships>
</file>

<file path=xl/worksheets/sheet1.xml><?xml version="1.0" encoding="utf-8"?>
<x:worksheet xmlns:x="http://schemas.openxmlformats.org/spreadsheetml/2006/main">
  <x:sheetPr>
    <x:tabColor rgb="FF35277F"/>
  </x:sheetPr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5" style="14" hidden="0" customWidth="1"/>
    <x:col min="3" max="3" width="34" style="14" hidden="0" customWidth="1"/>
    <x:col min="4" max="4" width="14" style="14" hidden="0" customWidth="1"/>
    <x:col min="5" max="5" width="14" style="14" hidden="0" customWidth="1"/>
    <x:col min="6" max="6" width="12" style="14" hidden="0" customWidth="1"/>
    <x:col min="7" max="8" width="13" style="14" customWidth="1"/>
    <x:col min="9" max="9" width="34" style="14" hidden="0" customWidth="1"/>
    <x:col min="10" max="10" width="3" style="14" customWidth="1"/>
    <x:col min="11" max="30" width="10" style="14" customWidth="1"/>
    <x:col min="31" max="16384" width="8.83203125" style="14" customWidth="0"/>
    <x:col min="7" max="7" width="28" hidden="0" customWidth="1"/>
    <x:col min="8" max="8" width="14" hidden="0" customWidth="1"/>
    <x:col min="11" max="11" width="3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 ht="28" customHeight="1">
      <x:c r="B2" s="120" t="str">
        <x:v>Plan de validation MATLAB BbW et SbW</x:v>
      </x:c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  <x:c r="Q2" s="120"/>
      <x:c r="R2" s="100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</x:row>
    <x:row r="3"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</x:row>
    <x:row r="4" ht="22" customHeight="1">
      <x:c r="B4" s="103" t="str">
        <x:v>PROFIL DU PROJET</x:v>
      </x:c>
      <x:c r="C4" s="103"/>
      <x:c r="D4" s="103"/>
      <x:c r="E4" s="103"/>
      <x:c r="F4" s="103"/>
      <x:c r="G4" s="103"/>
      <x:c r="H4" s="103"/>
      <x:c r="I4" s="103"/>
      <x:c r="J4" s="102"/>
      <x:c r="K4" s="103" t="str">
        <x:v>SYNTHÈSE DE LA COUVERTURE</x:v>
      </x:c>
      <x:c r="L4" s="103"/>
      <x:c r="M4" s="103"/>
      <x:c r="N4" s="103"/>
      <x:c r="O4" s="103"/>
      <x:c r="P4" s="103"/>
      <x:c r="Q4" s="103"/>
      <x:c r="R4" s="103"/>
      <x:c r="S4" s="103"/>
      <x:c r="T4" s="103"/>
      <x:c r="U4" s="103"/>
      <x:c r="V4" s="103"/>
      <x:c r="W4" s="103"/>
      <x:c r="X4" s="103"/>
      <x:c r="Y4" s="103"/>
      <x:c r="Z4" s="103"/>
      <x:c r="AA4" s="103"/>
      <x:c r="AB4" s="103"/>
      <x:c r="AC4" s="103"/>
      <x:c r="AD4" s="103"/>
    </x:row>
    <x:row r="5" ht="22" customHeight="1">
      <x:c r="B5" s="60" t="str">
        <x:v>Titre du projet</x:v>
      </x:c>
      <x:c r="C5" s="66" t="str">
        <x:v>Allocation de commande tolérante aux défaillances</x:v>
      </x:c>
      <x:c r="D5" s="66"/>
      <x:c r="E5" s="66"/>
      <x:c r="F5" s="63" t="str">
        <x:v>Outils</x:v>
      </x:c>
      <x:c r="G5" s="64"/>
      <x:c r="H5" s="66" t="str">
        <x:v>MATLAB / Simulink</x:v>
      </x:c>
      <x:c r="I5" s="66"/>
      <x:c r="J5" s="102"/>
      <x:c r="K5" s="48" t="str">
        <x:v>Total des clauses</x:v>
      </x:c>
      <x:c r="L5" s="49"/>
      <x:c r="M5" s="49" t="str">
        <x:v>Automatisées</x:v>
      </x:c>
      <x:c r="N5" s="50"/>
      <x:c r="O5" s="48" t="str">
        <x:v>Bloquées</x:v>
      </x:c>
      <x:c r="P5" s="49"/>
      <x:c r="Q5" s="49" t="str">
        <x:v>Autres</x:v>
      </x:c>
      <x:c r="R5" s="104"/>
      <x:c r="S5" s="105"/>
      <x:c r="T5" s="106"/>
      <x:c r="U5" s="106"/>
      <x:c r="V5" s="104"/>
      <x:c r="W5" s="105"/>
      <x:c r="X5" s="106"/>
      <x:c r="Y5" s="106"/>
      <x:c r="Z5" s="104"/>
      <x:c r="AA5" s="105"/>
      <x:c r="AB5" s="106"/>
      <x:c r="AC5" s="106"/>
      <x:c r="AD5" s="104"/>
    </x:row>
    <x:row r="6" ht="22" customHeight="1">
      <x:c r="B6" s="68" t="str">
        <x:v>Exigences</x:v>
      </x:c>
      <x:c r="C6" s="74" t="str">
        <x:v>REQ-01 to REQ-06</x:v>
      </x:c>
      <x:c r="D6" s="74"/>
      <x:c r="E6" s="74"/>
      <x:c r="F6" s="71" t="str">
        <x:v>Référence</x:v>
      </x:c>
      <x:c r="G6" s="72"/>
      <x:c r="H6" s="76" t="str">
        <x:v>Validation Gate 2/3</x:v>
      </x:c>
      <x:c r="I6" s="76"/>
      <x:c r="J6" s="102"/>
      <x:c r="K6" s="56" t="n">
        <x:f>COUNTA('Traceability Matrix'!A5:A16)</x:f>
        <x:v>12</x:v>
      </x:c>
      <x:c r="L6" s="57"/>
      <x:c r="M6" s="57" t="n">
        <x:f>COUNTIF('Traceability Matrix'!J5:J16,"Automatisé")</x:f>
        <x:v>7</x:v>
      </x:c>
      <x:c r="N6" s="58"/>
      <x:c r="O6" s="56" t="n">
        <x:f>COUNTIF('Traceability Matrix'!J5:J16,"Bloqué")</x:f>
        <x:v>3</x:v>
      </x:c>
      <x:c r="P6" s="57"/>
      <x:c r="Q6" s="57" t="n">
        <x:f>COUNTIF('Traceability Matrix'!J5:J16,"Planifié")+COUNTIF('Traceability Matrix'!J5:J16,"Revue manuelle")</x:f>
        <x:v>2</x:v>
      </x:c>
      <x:c r="R6" s="47"/>
      <x:c r="S6" s="35"/>
      <x:c r="T6" s="36"/>
      <x:c r="U6" s="36"/>
      <x:c r="V6" s="37"/>
      <x:c r="W6" s="38"/>
      <x:c r="X6" s="39"/>
      <x:c r="Y6" s="39"/>
      <x:c r="Z6" s="40"/>
      <x:c r="AA6" s="38"/>
      <x:c r="AB6" s="39"/>
      <x:c r="AC6" s="39"/>
      <x:c r="AD6" s="40"/>
    </x:row>
    <x:row r="7">
      <x:c r="B7" s="102"/>
      <x:c r="C7" s="102"/>
      <x:c r="D7" s="102"/>
      <x:c r="E7" s="102"/>
      <x:c r="F7" s="102"/>
      <x:c r="G7" s="102"/>
      <x:c r="H7" s="102"/>
      <x:c r="I7" s="102"/>
      <x:c r="J7" s="102"/>
      <x:c r="K7" s="102"/>
      <x:c r="L7" s="102"/>
      <x:c r="M7" s="102"/>
      <x:c r="N7" s="102"/>
      <x:c r="O7" s="102"/>
      <x:c r="P7" s="102"/>
      <x:c r="Q7" s="102"/>
      <x:c r="R7" s="102"/>
      <x:c r="S7" s="102"/>
      <x:c r="T7" s="102"/>
      <x:c r="U7" s="102"/>
      <x:c r="V7" s="102"/>
      <x:c r="W7" s="102"/>
      <x:c r="X7" s="102"/>
      <x:c r="Y7" s="102"/>
      <x:c r="Z7" s="102"/>
      <x:c r="AA7" s="102"/>
      <x:c r="AB7" s="102"/>
      <x:c r="AC7" s="102"/>
      <x:c r="AD7" s="102"/>
    </x:row>
    <x:row r="8" ht="22" customHeight="1">
      <x:c r="B8" s="103" t="str">
        <x:v>LOTS DE VALIDATION</x:v>
      </x:c>
      <x:c r="C8" s="103"/>
      <x:c r="D8" s="103"/>
      <x:c r="E8" s="103"/>
      <x:c r="F8" s="103"/>
      <x:c r="G8" s="103"/>
      <x:c r="H8" s="103"/>
      <x:c r="I8" s="103"/>
      <x:c r="J8" s="102"/>
      <x:c r="K8" s="103" t="str">
        <x:v>COUVERTURE DES EXIGENCES</x:v>
      </x:c>
      <x:c r="L8" s="103"/>
      <x:c r="M8" s="103"/>
      <x:c r="N8" s="103"/>
      <x:c r="O8" s="103"/>
      <x:c r="P8" s="103"/>
      <x:c r="Q8" s="103"/>
      <x:c r="R8" s="103"/>
      <x:c r="S8" s="103"/>
      <x:c r="T8" s="103"/>
      <x:c r="U8" s="103"/>
      <x:c r="V8" s="103"/>
      <x:c r="W8" s="103"/>
      <x:c r="X8" s="103"/>
      <x:c r="Y8" s="103"/>
      <x:c r="Z8" s="103"/>
      <x:c r="AA8" s="103"/>
      <x:c r="AB8" s="103"/>
      <x:c r="AC8" s="103"/>
      <x:c r="AD8" s="103"/>
    </x:row>
    <x:row r="9" ht="31" customHeight="1">
      <x:c r="B9" s="79" t="str">
        <x:v>Lot</x:v>
      </x:c>
      <x:c r="C9" s="79" t="str">
        <x:v>Élément de vérification</x:v>
      </x:c>
      <x:c r="D9" s="79" t="str">
        <x:v>Responsable</x:v>
      </x:c>
      <x:c r="E9" s="79" t="str">
        <x:v>État</x:v>
      </x:c>
      <x:c r="F9" s="79" t="str">
        <x:v>Priorité</x:v>
      </x:c>
      <x:c r="G9" s="79" t="str">
        <x:v>Preuve</x:v>
      </x:c>
      <x:c r="H9" s="79" t="str">
        <x:v>Exigence</x:v>
      </x:c>
      <x:c r="I9" s="79" t="str">
        <x:v>Action suivante</x:v>
      </x:c>
      <x:c r="J9" s="84"/>
      <x:c r="K9" s="79" t="str">
        <x:v>Élément</x:v>
      </x:c>
      <x:c r="L9" s="79" t="str">
        <x:f t="shared" ref="L9:AD9" si="0">"REQ-01"</x:f>
        <x:v>REQ-01</x:v>
      </x:c>
      <x:c r="M9" s="79" t="str">
        <x:f t="shared" si="0"/>
        <x:v>REQ-02</x:v>
      </x:c>
      <x:c r="N9" s="79" t="str">
        <x:f t="shared" si="0"/>
        <x:v>REQ-03</x:v>
      </x:c>
      <x:c r="O9" s="79" t="str">
        <x:f t="shared" si="0"/>
        <x:v>REQ-04</x:v>
      </x:c>
      <x:c r="P9" s="79" t="str">
        <x:f t="shared" si="0"/>
        <x:v>REQ-05</x:v>
      </x:c>
      <x:c r="Q9" s="79" t="str">
        <x:f t="shared" si="0"/>
        <x:v>REQ-06</x:v>
      </x:c>
      <x:c r="R9" s="2">
        <x:f t="shared" si="0"/>
      </x:c>
      <x:c r="S9" s="2">
        <x:f t="shared" si="0"/>
      </x:c>
      <x:c r="T9" s="2">
        <x:f t="shared" si="0"/>
      </x:c>
      <x:c r="U9" s="2">
        <x:f t="shared" si="0"/>
      </x:c>
      <x:c r="V9" s="2">
        <x:f t="shared" si="0"/>
      </x:c>
      <x:c r="W9" s="2">
        <x:f t="shared" si="0"/>
      </x:c>
      <x:c r="X9" s="2">
        <x:f t="shared" si="0"/>
      </x:c>
      <x:c r="Y9" s="2">
        <x:f t="shared" si="0"/>
      </x:c>
      <x:c r="Z9" s="2">
        <x:f t="shared" si="0"/>
      </x:c>
      <x:c r="AA9" s="2">
        <x:f t="shared" si="0"/>
      </x:c>
      <x:c r="AB9" s="2">
        <x:f t="shared" si="0"/>
      </x:c>
      <x:c r="AC9" s="2">
        <x:f t="shared" si="0"/>
      </x:c>
      <x:c r="AD9" s="2">
        <x:f t="shared" si="0"/>
      </x:c>
    </x:row>
    <x:row r="10" ht="31" customHeight="1">
      <x:c r="B10" s="121" t="str">
        <x:v>Allocateur</x:v>
      </x:c>
      <x:c r="C10" s="121" t="str">
        <x:v>QP borné au mieux réalisable</x:v>
      </x:c>
      <x:c r="D10" s="121" t="str">
        <x:v>Équipe</x:v>
      </x:c>
      <x:c r="E10" s="121" t="str">
        <x:v>Automatisé</x:v>
      </x:c>
      <x:c r="F10" s="121" t="str">
        <x:v>P0</x:v>
      </x:c>
      <x:c r="G10" s="121" t="str">
        <x:v>unit_test_results.csv</x:v>
      </x:c>
      <x:c r="H10" s="121" t="str">
        <x:v>REQ-01</x:v>
      </x:c>
      <x:c r="I10" s="121" t="str">
        <x:f t="shared" ref="I10:I39" si="1">IF(OR(G10="",H10="",H10&lt;G10),"",H10-G10+1)</x:f>
        <x:v>Lancer la campagne dans MATLAB</x:v>
      </x:c>
      <x:c r="J10" s="84"/>
      <x:c r="K10" s="121" t="str">
        <x:f t="shared" ref="K10:T19" si="2">"QP borné au mieux réalisable"</x:f>
        <x:v>QP borné au mieux réalisable</x:v>
      </x:c>
      <x:c r="L10" s="121" t="str">
        <x:f t="shared" si="2"/>
        <x:v>X</x:v>
      </x:c>
      <x:c r="M10" s="121" t="str">
        <x:f t="shared" si="2"/>
      </x:c>
      <x:c r="N10" s="121" t="str">
        <x:f t="shared" si="2"/>
      </x:c>
      <x:c r="O10" s="121" t="str">
        <x:f t="shared" si="2"/>
      </x:c>
      <x:c r="P10" s="121" t="str">
        <x:f t="shared" si="2"/>
      </x:c>
      <x:c r="Q10" s="121" t="str">
        <x:f t="shared" si="2"/>
      </x:c>
      <x:c r="R10" s="13">
        <x:f t="shared" si="2"/>
      </x:c>
      <x:c r="S10" s="12">
        <x:f t="shared" si="2"/>
      </x:c>
      <x:c r="T10" s="13">
        <x:f t="shared" si="2"/>
      </x:c>
      <x:c r="U10" s="12" t="str">
        <x:f t="shared" ref="U10:AD19" si="3">IF(OR($G10="",$H10="",$H10&lt;$G10),"",IF(AND(U$9&lt;=$H10,U$9+6&gt;=$G10),1,""))</x:f>
      </x:c>
      <x:c r="V10" s="13">
        <x:f t="shared" si="3"/>
      </x:c>
      <x:c r="W10" s="12">
        <x:f t="shared" si="3"/>
      </x:c>
      <x:c r="X10" s="13">
        <x:f t="shared" si="3"/>
      </x:c>
      <x:c r="Y10" s="12">
        <x:f t="shared" si="3"/>
      </x:c>
      <x:c r="Z10" s="13">
        <x:f t="shared" si="3"/>
      </x:c>
      <x:c r="AA10" s="12">
        <x:f t="shared" si="3"/>
      </x:c>
      <x:c r="AB10" s="13">
        <x:f t="shared" si="3"/>
      </x:c>
      <x:c r="AC10" s="12">
        <x:f t="shared" si="3"/>
      </x:c>
      <x:c r="AD10" s="13">
        <x:f t="shared" si="3"/>
      </x:c>
    </x:row>
    <x:row r="11" ht="31" customHeight="1">
      <x:c r="B11" s="122" t="str">
        <x:v>Allocateur</x:v>
      </x:c>
      <x:c r="C11" s="122" t="str">
        <x:v>Maintien du freinage en surdemande</x:v>
      </x:c>
      <x:c r="D11" s="122" t="str">
        <x:v>Équipe</x:v>
      </x:c>
      <x:c r="E11" s="122" t="str">
        <x:v>Automatisé</x:v>
      </x:c>
      <x:c r="F11" s="122" t="str">
        <x:v>P0</x:v>
      </x:c>
      <x:c r="G11" s="122" t="str">
        <x:v>CAP-01/tracking.png</x:v>
      </x:c>
      <x:c r="H11" s="122" t="str">
        <x:v>REQ-01</x:v>
      </x:c>
      <x:c r="I11" s="122" t="str">
        <x:f t="shared" si="1"/>
        <x:v>Vérifier le résultat de saturation</x:v>
      </x:c>
      <x:c r="J11" s="84"/>
      <x:c r="K11" s="122" t="str">
        <x:f t="shared" si="2"/>
        <x:v>Maintien du freinage en surdemande</x:v>
      </x:c>
      <x:c r="L11" s="122" t="str">
        <x:f t="shared" si="2"/>
        <x:v>X</x:v>
      </x:c>
      <x:c r="M11" s="122" t="str">
        <x:f t="shared" si="2"/>
      </x:c>
      <x:c r="N11" s="122" t="str">
        <x:f t="shared" si="2"/>
      </x:c>
      <x:c r="O11" s="122" t="str">
        <x:f t="shared" si="2"/>
      </x:c>
      <x:c r="P11" s="122" t="str">
        <x:f t="shared" si="2"/>
      </x:c>
      <x:c r="Q11" s="122" t="str">
        <x:f t="shared" si="2"/>
      </x:c>
      <x:c r="R11" s="13">
        <x:f t="shared" si="2"/>
      </x:c>
      <x:c r="S11" s="12">
        <x:f t="shared" si="2"/>
      </x:c>
      <x:c r="T11" s="13">
        <x:f t="shared" si="2"/>
      </x:c>
      <x:c r="U11" s="12">
        <x:f t="shared" si="3"/>
      </x:c>
      <x:c r="V11" s="13">
        <x:f t="shared" si="3"/>
      </x:c>
      <x:c r="W11" s="12">
        <x:f t="shared" si="3"/>
      </x:c>
      <x:c r="X11" s="13">
        <x:f t="shared" si="3"/>
      </x:c>
      <x:c r="Y11" s="12">
        <x:f t="shared" si="3"/>
      </x:c>
      <x:c r="Z11" s="13">
        <x:f t="shared" si="3"/>
      </x:c>
      <x:c r="AA11" s="12">
        <x:f t="shared" si="3"/>
      </x:c>
      <x:c r="AB11" s="13">
        <x:f t="shared" si="3"/>
      </x:c>
      <x:c r="AC11" s="12">
        <x:f t="shared" si="3"/>
      </x:c>
      <x:c r="AD11" s="13">
        <x:f t="shared" si="3"/>
      </x:c>
    </x:row>
    <x:row r="12" ht="31" customHeight="1">
      <x:c r="B12" s="121" t="str">
        <x:v>Défauts</x:v>
      </x:c>
      <x:c r="C12" s="121" t="str">
        <x:v>Quatre masques de défaut de frein</x:v>
      </x:c>
      <x:c r="D12" s="121" t="str">
        <x:v>Équipe</x:v>
      </x:c>
      <x:c r="E12" s="121" t="str">
        <x:v>Automatisé</x:v>
      </x:c>
      <x:c r="F12" s="121" t="str">
        <x:v>P0</x:v>
      </x:c>
      <x:c r="G12" s="121" t="str">
        <x:v>FLT-*/tracking.png</x:v>
      </x:c>
      <x:c r="H12" s="121" t="str">
        <x:v>REQ-02</x:v>
      </x:c>
      <x:c r="I12" s="121" t="str">
        <x:f t="shared" si="1"/>
        <x:v>Vérifier la latence et l'établissement</x:v>
      </x:c>
      <x:c r="J12" s="84"/>
      <x:c r="K12" s="121" t="str">
        <x:f t="shared" si="2"/>
        <x:v>Quatre masques de défaut de frein</x:v>
      </x:c>
      <x:c r="L12" s="121" t="str">
        <x:f t="shared" si="2"/>
      </x:c>
      <x:c r="M12" s="121" t="str">
        <x:f t="shared" si="2"/>
        <x:v>X</x:v>
      </x:c>
      <x:c r="N12" s="121" t="str">
        <x:f t="shared" si="2"/>
      </x:c>
      <x:c r="O12" s="121" t="str">
        <x:f t="shared" si="2"/>
      </x:c>
      <x:c r="P12" s="121" t="str">
        <x:f t="shared" si="2"/>
      </x:c>
      <x:c r="Q12" s="121" t="str">
        <x:f t="shared" si="2"/>
      </x:c>
      <x:c r="R12" s="13">
        <x:f t="shared" si="2"/>
      </x:c>
      <x:c r="S12" s="12">
        <x:f t="shared" si="2"/>
      </x:c>
      <x:c r="T12" s="13">
        <x:f t="shared" si="2"/>
      </x:c>
      <x:c r="U12" s="12">
        <x:f t="shared" si="3"/>
      </x:c>
      <x:c r="V12" s="13">
        <x:f t="shared" si="3"/>
      </x:c>
      <x:c r="W12" s="12">
        <x:f t="shared" si="3"/>
      </x:c>
      <x:c r="X12" s="13">
        <x:f t="shared" si="3"/>
      </x:c>
      <x:c r="Y12" s="12">
        <x:f t="shared" si="3"/>
      </x:c>
      <x:c r="Z12" s="13">
        <x:f t="shared" si="3"/>
      </x:c>
      <x:c r="AA12" s="12">
        <x:f t="shared" si="3"/>
      </x:c>
      <x:c r="AB12" s="13">
        <x:f t="shared" si="3"/>
      </x:c>
      <x:c r="AC12" s="12">
        <x:f t="shared" si="3"/>
      </x:c>
      <x:c r="AD12" s="13">
        <x:f t="shared" si="3"/>
      </x:c>
    </x:row>
    <x:row r="13" ht="31" customHeight="1">
      <x:c r="B13" s="122" t="str">
        <x:v>Défauts</x:v>
      </x:c>
      <x:c r="C13" s="122" t="str">
        <x:v>Allocation DBBS sans direction</x:v>
      </x:c>
      <x:c r="D13" s="122" t="str">
        <x:v>Équipe</x:v>
      </x:c>
      <x:c r="E13" s="122" t="str">
        <x:v>Automatisé</x:v>
      </x:c>
      <x:c r="F13" s="122" t="str">
        <x:v>P0</x:v>
      </x:c>
      <x:c r="G13" s="122" t="str">
        <x:v>FLT-ST/tracking.png</x:v>
      </x:c>
      <x:c r="H13" s="122" t="str">
        <x:v>REQ-03c</x:v>
      </x:c>
      <x:c r="I13" s="122" t="str">
        <x:f t="shared" si="1"/>
        <x:v>Vérifier la décélération induite</x:v>
      </x:c>
      <x:c r="J13" s="84"/>
      <x:c r="K13" s="122" t="str">
        <x:f t="shared" si="2"/>
        <x:v>Allocation DBBS sans direction</x:v>
      </x:c>
      <x:c r="L13" s="122" t="str">
        <x:f t="shared" si="2"/>
      </x:c>
      <x:c r="M13" s="122" t="str">
        <x:f t="shared" si="2"/>
      </x:c>
      <x:c r="N13" s="122" t="str">
        <x:f t="shared" si="2"/>
        <x:v>X</x:v>
      </x:c>
      <x:c r="O13" s="122" t="str">
        <x:f t="shared" si="2"/>
      </x:c>
      <x:c r="P13" s="122" t="str">
        <x:f t="shared" si="2"/>
      </x:c>
      <x:c r="Q13" s="122" t="str">
        <x:f t="shared" si="2"/>
      </x:c>
      <x:c r="R13" s="13">
        <x:f t="shared" si="2"/>
      </x:c>
      <x:c r="S13" s="12">
        <x:f t="shared" si="2"/>
      </x:c>
      <x:c r="T13" s="13">
        <x:f t="shared" si="2"/>
      </x:c>
      <x:c r="U13" s="12">
        <x:f t="shared" si="3"/>
      </x:c>
      <x:c r="V13" s="13">
        <x:f t="shared" si="3"/>
      </x:c>
      <x:c r="W13" s="12">
        <x:f t="shared" si="3"/>
      </x:c>
      <x:c r="X13" s="13">
        <x:f t="shared" si="3"/>
      </x:c>
      <x:c r="Y13" s="12">
        <x:f t="shared" si="3"/>
      </x:c>
      <x:c r="Z13" s="13">
        <x:f t="shared" si="3"/>
      </x:c>
      <x:c r="AA13" s="12">
        <x:f t="shared" si="3"/>
      </x:c>
      <x:c r="AB13" s="13">
        <x:f t="shared" si="3"/>
      </x:c>
      <x:c r="AC13" s="12">
        <x:f t="shared" si="3"/>
      </x:c>
      <x:c r="AD13" s="13">
        <x:f t="shared" si="3"/>
      </x:c>
    </x:row>
    <x:row r="14" ht="31" customHeight="1">
      <x:c r="B14" s="121" t="str">
        <x:v>Autorité</x:v>
      </x:c>
      <x:c r="C14" s="121" t="str">
        <x:v>Calcul du freinage résiduel</x:v>
      </x:c>
      <x:c r="D14" s="121" t="str">
        <x:v>Équipe</x:v>
      </x:c>
      <x:c r="E14" s="121" t="str">
        <x:v>Automatisé</x:v>
      </x:c>
      <x:c r="F14" s="121" t="str">
        <x:v>P0</x:v>
      </x:c>
      <x:c r="G14" s="121" t="str">
        <x:v>control_authority_report.m</x:v>
      </x:c>
      <x:c r="H14" s="121" t="str">
        <x:v>REQ-03a</x:v>
      </x:c>
      <x:c r="I14" s="121" t="str">
        <x:f t="shared" si="1"/>
        <x:v>Confirmer les paramètres véhicule</x:v>
      </x:c>
      <x:c r="J14" s="84"/>
      <x:c r="K14" s="121" t="str">
        <x:f t="shared" si="2"/>
        <x:v>Calcul du freinage résiduel</x:v>
      </x:c>
      <x:c r="L14" s="121" t="str">
        <x:f t="shared" si="2"/>
      </x:c>
      <x:c r="M14" s="121" t="str">
        <x:f t="shared" si="2"/>
      </x:c>
      <x:c r="N14" s="121" t="str">
        <x:f t="shared" si="2"/>
        <x:v>X</x:v>
      </x:c>
      <x:c r="O14" s="121" t="str">
        <x:f t="shared" si="2"/>
      </x:c>
      <x:c r="P14" s="121" t="str">
        <x:f t="shared" si="2"/>
      </x:c>
      <x:c r="Q14" s="121" t="str">
        <x:f t="shared" si="2"/>
      </x:c>
      <x:c r="R14" s="13">
        <x:f t="shared" si="2"/>
      </x:c>
      <x:c r="S14" s="12">
        <x:f t="shared" si="2"/>
      </x:c>
      <x:c r="T14" s="13">
        <x:f t="shared" si="2"/>
      </x:c>
      <x:c r="U14" s="12">
        <x:f t="shared" si="3"/>
      </x:c>
      <x:c r="V14" s="13">
        <x:f t="shared" si="3"/>
      </x:c>
      <x:c r="W14" s="12">
        <x:f t="shared" si="3"/>
      </x:c>
      <x:c r="X14" s="13">
        <x:f t="shared" si="3"/>
      </x:c>
      <x:c r="Y14" s="12">
        <x:f t="shared" si="3"/>
      </x:c>
      <x:c r="Z14" s="13">
        <x:f t="shared" si="3"/>
      </x:c>
      <x:c r="AA14" s="12">
        <x:f t="shared" si="3"/>
      </x:c>
      <x:c r="AB14" s="13">
        <x:f t="shared" si="3"/>
      </x:c>
      <x:c r="AC14" s="12">
        <x:f t="shared" si="3"/>
      </x:c>
      <x:c r="AD14" s="13">
        <x:f t="shared" si="3"/>
      </x:c>
    </x:row>
    <x:row r="15" ht="31" customHeight="1">
      <x:c r="B15" s="122" t="str">
        <x:v>Direction</x:v>
      </x:c>
      <x:c r="C15" s="122" t="str">
        <x:v>Autorité résiduelle à deux moteurs</x:v>
      </x:c>
      <x:c r="D15" s="122" t="str">
        <x:v>Équipe</x:v>
      </x:c>
      <x:c r="E15" s="122" t="str">
        <x:v>Bloqué</x:v>
      </x:c>
      <x:c r="F15" s="122" t="str">
        <x:v>P0</x:v>
      </x:c>
      <x:c r="G15" s="122" t="str">
        <x:v>Indisponible</x:v>
      </x:c>
      <x:c r="H15" s="122" t="str">
        <x:v>REQ-03b</x:v>
      </x:c>
      <x:c r="I15" s="122" t="str">
        <x:f t="shared" si="1"/>
        <x:v>Construire le modèle à deux canaux</x:v>
      </x:c>
      <x:c r="J15" s="84"/>
      <x:c r="K15" s="122" t="str">
        <x:f t="shared" si="2"/>
        <x:v>Autorité résiduelle à deux moteurs</x:v>
      </x:c>
      <x:c r="L15" s="122" t="str">
        <x:f t="shared" si="2"/>
      </x:c>
      <x:c r="M15" s="122" t="str">
        <x:f t="shared" si="2"/>
      </x:c>
      <x:c r="N15" s="122" t="str">
        <x:f t="shared" si="2"/>
        <x:v>X</x:v>
      </x:c>
      <x:c r="O15" s="122" t="str">
        <x:f t="shared" si="2"/>
      </x:c>
      <x:c r="P15" s="122" t="str">
        <x:f t="shared" si="2"/>
      </x:c>
      <x:c r="Q15" s="122" t="str">
        <x:f t="shared" si="2"/>
      </x:c>
      <x:c r="R15" s="13">
        <x:f t="shared" si="2"/>
      </x:c>
      <x:c r="S15" s="12">
        <x:f t="shared" si="2"/>
      </x:c>
      <x:c r="T15" s="13">
        <x:f t="shared" si="2"/>
      </x:c>
      <x:c r="U15" s="12">
        <x:f t="shared" si="3"/>
      </x:c>
      <x:c r="V15" s="13">
        <x:f t="shared" si="3"/>
      </x:c>
      <x:c r="W15" s="12">
        <x:f t="shared" si="3"/>
      </x:c>
      <x:c r="X15" s="13">
        <x:f t="shared" si="3"/>
      </x:c>
      <x:c r="Y15" s="12">
        <x:f t="shared" si="3"/>
      </x:c>
      <x:c r="Z15" s="13">
        <x:f t="shared" si="3"/>
      </x:c>
      <x:c r="AA15" s="12">
        <x:f t="shared" si="3"/>
      </x:c>
      <x:c r="AB15" s="13">
        <x:f t="shared" si="3"/>
      </x:c>
      <x:c r="AC15" s="12">
        <x:f t="shared" si="3"/>
      </x:c>
      <x:c r="AD15" s="13">
        <x:f t="shared" si="3"/>
      </x:c>
    </x:row>
    <x:row r="16" ht="31" customHeight="1">
      <x:c r="B16" s="121" t="str">
        <x:v>Dynamique</x:v>
      </x:c>
      <x:c r="C16" s="121" t="str">
        <x:v>Continuité du lacet après défaut</x:v>
      </x:c>
      <x:c r="D16" s="121" t="str">
        <x:v>Équipe</x:v>
      </x:c>
      <x:c r="E16" s="121" t="str">
        <x:v>Bloqué</x:v>
      </x:c>
      <x:c r="F16" s="121" t="str">
        <x:v>P0</x:v>
      </x:c>
      <x:c r="G16" s="121" t="str">
        <x:v>Indisponible</x:v>
      </x:c>
      <x:c r="H16" s="121" t="str">
        <x:v>REQ-02</x:v>
      </x:c>
      <x:c r="I16" s="121" t="str">
        <x:f t="shared" si="1"/>
        <x:v>Ajouter la comparaison véhicule nominal/défaut</x:v>
      </x:c>
      <x:c r="J16" s="84"/>
      <x:c r="K16" s="121" t="str">
        <x:f t="shared" si="2"/>
        <x:v>Continuité du lacet après défaut</x:v>
      </x:c>
      <x:c r="L16" s="121" t="str">
        <x:f t="shared" si="2"/>
      </x:c>
      <x:c r="M16" s="121" t="str">
        <x:f t="shared" si="2"/>
        <x:v>X</x:v>
      </x:c>
      <x:c r="N16" s="121" t="str">
        <x:f t="shared" si="2"/>
      </x:c>
      <x:c r="O16" s="121" t="str">
        <x:f t="shared" si="2"/>
      </x:c>
      <x:c r="P16" s="121" t="str">
        <x:f t="shared" si="2"/>
      </x:c>
      <x:c r="Q16" s="121" t="str">
        <x:f t="shared" si="2"/>
      </x:c>
      <x:c r="R16" s="13">
        <x:f t="shared" si="2"/>
      </x:c>
      <x:c r="S16" s="12">
        <x:f t="shared" si="2"/>
      </x:c>
      <x:c r="T16" s="13">
        <x:f t="shared" si="2"/>
      </x:c>
      <x:c r="U16" s="12">
        <x:f t="shared" si="3"/>
      </x:c>
      <x:c r="V16" s="13">
        <x:f t="shared" si="3"/>
      </x:c>
      <x:c r="W16" s="12">
        <x:f t="shared" si="3"/>
      </x:c>
      <x:c r="X16" s="13">
        <x:f t="shared" si="3"/>
      </x:c>
      <x:c r="Y16" s="12">
        <x:f t="shared" si="3"/>
      </x:c>
      <x:c r="Z16" s="13">
        <x:f t="shared" si="3"/>
      </x:c>
      <x:c r="AA16" s="12">
        <x:f t="shared" si="3"/>
      </x:c>
      <x:c r="AB16" s="13">
        <x:f t="shared" si="3"/>
      </x:c>
      <x:c r="AC16" s="12">
        <x:f t="shared" si="3"/>
      </x:c>
      <x:c r="AD16" s="13">
        <x:f t="shared" si="3"/>
      </x:c>
    </x:row>
    <x:row r="17" ht="31" customHeight="1">
      <x:c r="B17" s="122" t="str">
        <x:v>Dynamique</x:v>
      </x:c>
      <x:c r="C17" s="122" t="str">
        <x:v>Suivi DBBS du lacet et de la trajectoire</x:v>
      </x:c>
      <x:c r="D17" s="122" t="str">
        <x:v>Équipe</x:v>
      </x:c>
      <x:c r="E17" s="122" t="str">
        <x:v>Bloqué</x:v>
      </x:c>
      <x:c r="F17" s="122" t="str">
        <x:v>P0</x:v>
      </x:c>
      <x:c r="G17" s="122" t="str">
        <x:v>Indisponible</x:v>
      </x:c>
      <x:c r="H17" s="122" t="str">
        <x:v>REQ-03c</x:v>
      </x:c>
      <x:c r="I17" s="122" t="str">
        <x:f t="shared" si="1"/>
        <x:v>Ajouter le contrôleur de lacet supérieur</x:v>
      </x:c>
      <x:c r="J17" s="84"/>
      <x:c r="K17" s="122" t="str">
        <x:f t="shared" si="2"/>
        <x:v>Suivi DBBS du lacet et de la trajectoire</x:v>
      </x:c>
      <x:c r="L17" s="122" t="str">
        <x:f t="shared" si="2"/>
      </x:c>
      <x:c r="M17" s="122" t="str">
        <x:f t="shared" si="2"/>
      </x:c>
      <x:c r="N17" s="122" t="str">
        <x:f t="shared" si="2"/>
        <x:v>X</x:v>
      </x:c>
      <x:c r="O17" s="122" t="str">
        <x:f t="shared" si="2"/>
      </x:c>
      <x:c r="P17" s="122" t="str">
        <x:f t="shared" si="2"/>
      </x:c>
      <x:c r="Q17" s="122" t="str">
        <x:f t="shared" si="2"/>
      </x:c>
      <x:c r="R17" s="13">
        <x:f t="shared" si="2"/>
      </x:c>
      <x:c r="S17" s="12">
        <x:f t="shared" si="2"/>
      </x:c>
      <x:c r="T17" s="13">
        <x:f t="shared" si="2"/>
      </x:c>
      <x:c r="U17" s="12">
        <x:f t="shared" si="3"/>
      </x:c>
      <x:c r="V17" s="13">
        <x:f t="shared" si="3"/>
      </x:c>
      <x:c r="W17" s="12">
        <x:f t="shared" si="3"/>
      </x:c>
      <x:c r="X17" s="13">
        <x:f t="shared" si="3"/>
      </x:c>
      <x:c r="Y17" s="12">
        <x:f t="shared" si="3"/>
      </x:c>
      <x:c r="Z17" s="13">
        <x:f t="shared" si="3"/>
      </x:c>
      <x:c r="AA17" s="12">
        <x:f t="shared" si="3"/>
      </x:c>
      <x:c r="AB17" s="13">
        <x:f t="shared" si="3"/>
      </x:c>
      <x:c r="AC17" s="12">
        <x:f t="shared" si="3"/>
      </x:c>
      <x:c r="AD17" s="13">
        <x:f t="shared" si="3"/>
      </x:c>
    </x:row>
    <x:row r="18" ht="31" customHeight="1">
      <x:c r="B18" s="121" t="str">
        <x:v>Sécurité</x:v>
      </x:c>
      <x:c r="C18" s="121" t="str">
        <x:v>Indépendance d'architecture et DFA</x:v>
      </x:c>
      <x:c r="D18" s="121" t="str">
        <x:v>Équipe</x:v>
      </x:c>
      <x:c r="E18" s="121" t="str">
        <x:v>Revue manuelle</x:v>
      </x:c>
      <x:c r="F18" s="121" t="str">
        <x:v>P1</x:v>
      </x:c>
      <x:c r="G18" s="121" t="str">
        <x:v>Tableau AMDEC/DFA</x:v>
      </x:c>
      <x:c r="H18" s="121" t="str">
        <x:v>REQ-04</x:v>
      </x:c>
      <x:c r="I18" s="121" t="str">
        <x:f t="shared" si="1"/>
        <x:v>Cartographier alimentation, ECU et bus</x:v>
      </x:c>
      <x:c r="J18" s="84"/>
      <x:c r="K18" s="121" t="str">
        <x:f t="shared" si="2"/>
        <x:v>Indépendance d'architecture et DFA</x:v>
      </x:c>
      <x:c r="L18" s="121" t="str">
        <x:f t="shared" si="2"/>
      </x:c>
      <x:c r="M18" s="121" t="str">
        <x:f t="shared" si="2"/>
      </x:c>
      <x:c r="N18" s="121" t="str">
        <x:f t="shared" si="2"/>
      </x:c>
      <x:c r="O18" s="121" t="str">
        <x:f t="shared" si="2"/>
        <x:v>X</x:v>
      </x:c>
      <x:c r="P18" s="121" t="str">
        <x:f t="shared" si="2"/>
      </x:c>
      <x:c r="Q18" s="121" t="str">
        <x:f t="shared" si="2"/>
      </x:c>
      <x:c r="R18" s="13">
        <x:f t="shared" si="2"/>
      </x:c>
      <x:c r="S18" s="12">
        <x:f t="shared" si="2"/>
      </x:c>
      <x:c r="T18" s="13">
        <x:f t="shared" si="2"/>
      </x:c>
      <x:c r="U18" s="12">
        <x:f t="shared" si="3"/>
      </x:c>
      <x:c r="V18" s="13">
        <x:f t="shared" si="3"/>
      </x:c>
      <x:c r="W18" s="12">
        <x:f t="shared" si="3"/>
      </x:c>
      <x:c r="X18" s="13">
        <x:f t="shared" si="3"/>
      </x:c>
      <x:c r="Y18" s="12">
        <x:f t="shared" si="3"/>
      </x:c>
      <x:c r="Z18" s="13">
        <x:f t="shared" si="3"/>
      </x:c>
      <x:c r="AA18" s="12">
        <x:f t="shared" si="3"/>
      </x:c>
      <x:c r="AB18" s="13">
        <x:f t="shared" si="3"/>
      </x:c>
      <x:c r="AC18" s="12">
        <x:f t="shared" si="3"/>
      </x:c>
      <x:c r="AD18" s="13">
        <x:f t="shared" si="3"/>
      </x:c>
    </x:row>
    <x:row r="19" ht="31" customHeight="1">
      <x:c r="B19" s="122" t="str">
        <x:v>Étendu</x:v>
      </x:c>
      <x:c r="C19" s="122" t="str">
        <x:v>Reconfiguration après double défaut</x:v>
      </x:c>
      <x:c r="D19" s="122" t="str">
        <x:v>Équipe</x:v>
      </x:c>
      <x:c r="E19" s="122" t="str">
        <x:v>Planifié</x:v>
      </x:c>
      <x:c r="F19" s="122" t="str">
        <x:v>P2</x:v>
      </x:c>
      <x:c r="G19" s="122" t="str">
        <x:v>Campagne future</x:v>
      </x:c>
      <x:c r="H19" s="122" t="str">
        <x:v>REQ-05</x:v>
      </x:c>
      <x:c r="I19" s="122" t="str">
        <x:f t="shared" si="1"/>
        <x:v>Confirmer la répartition des circuits</x:v>
      </x:c>
      <x:c r="J19" s="84"/>
      <x:c r="K19" s="122" t="str">
        <x:f t="shared" si="2"/>
        <x:v>Reconfiguration après double défaut</x:v>
      </x:c>
      <x:c r="L19" s="122" t="str">
        <x:f t="shared" si="2"/>
      </x:c>
      <x:c r="M19" s="122" t="str">
        <x:f t="shared" si="2"/>
      </x:c>
      <x:c r="N19" s="122" t="str">
        <x:f t="shared" si="2"/>
      </x:c>
      <x:c r="O19" s="122" t="str">
        <x:f t="shared" si="2"/>
      </x:c>
      <x:c r="P19" s="122" t="str">
        <x:f t="shared" si="2"/>
        <x:v>X</x:v>
      </x:c>
      <x:c r="Q19" s="122" t="str">
        <x:f t="shared" si="2"/>
      </x:c>
      <x:c r="R19" s="13">
        <x:f t="shared" si="2"/>
      </x:c>
      <x:c r="S19" s="12">
        <x:f t="shared" si="2"/>
      </x:c>
      <x:c r="T19" s="13">
        <x:f t="shared" si="2"/>
      </x:c>
      <x:c r="U19" s="12">
        <x:f t="shared" si="3"/>
      </x:c>
      <x:c r="V19" s="13">
        <x:f t="shared" si="3"/>
      </x:c>
      <x:c r="W19" s="12">
        <x:f t="shared" si="3"/>
      </x:c>
      <x:c r="X19" s="13">
        <x:f t="shared" si="3"/>
      </x:c>
      <x:c r="Y19" s="12">
        <x:f t="shared" si="3"/>
      </x:c>
      <x:c r="Z19" s="13">
        <x:f t="shared" si="3"/>
      </x:c>
      <x:c r="AA19" s="12">
        <x:f t="shared" si="3"/>
      </x:c>
      <x:c r="AB19" s="13">
        <x:f t="shared" si="3"/>
      </x:c>
      <x:c r="AC19" s="12">
        <x:f t="shared" si="3"/>
      </x:c>
      <x:c r="AD19" s="13">
        <x:f t="shared" si="3"/>
      </x:c>
    </x:row>
    <x:row r="20" ht="31" customHeight="1">
      <x:c r="B20" s="121" t="str">
        <x:v>Étendu</x:v>
      </x:c>
      <x:c r="C20" s="121" t="str">
        <x:v>Manœuvre DLC ou adhérence dissymétrique</x:v>
      </x:c>
      <x:c r="D20" s="121" t="str">
        <x:v>Équipe</x:v>
      </x:c>
      <x:c r="E20" s="121" t="str">
        <x:v>Planifié</x:v>
      </x:c>
      <x:c r="F20" s="121" t="str">
        <x:v>P2</x:v>
      </x:c>
      <x:c r="G20" s="121" t="str">
        <x:v>Campagne future</x:v>
      </x:c>
      <x:c r="H20" s="121" t="str">
        <x:v>REQ-06</x:v>
      </x:c>
      <x:c r="I20" s="121" t="str">
        <x:f t="shared" si="1"/>
        <x:v>Sélectionner une manœuvre normalisée</x:v>
      </x:c>
      <x:c r="J20" s="84"/>
      <x:c r="K20" s="121" t="str">
        <x:f t="shared" ref="K20:T29" si="4">"Manœuvre DLC ou adhérence dissymétrique"</x:f>
        <x:v>Manœuvre DLC ou adhérence dissymétrique</x:v>
      </x:c>
      <x:c r="L20" s="121" t="str">
        <x:f t="shared" si="4"/>
      </x:c>
      <x:c r="M20" s="121" t="str">
        <x:f t="shared" si="4"/>
      </x:c>
      <x:c r="N20" s="121" t="str">
        <x:f t="shared" si="4"/>
      </x:c>
      <x:c r="O20" s="121" t="str">
        <x:f t="shared" si="4"/>
      </x:c>
      <x:c r="P20" s="121" t="str">
        <x:f t="shared" si="4"/>
      </x:c>
      <x:c r="Q20" s="121" t="str">
        <x:f t="shared" si="4"/>
        <x:v>X</x:v>
      </x:c>
      <x:c r="R20" s="13">
        <x:f t="shared" si="4"/>
      </x:c>
      <x:c r="S20" s="12">
        <x:f t="shared" si="4"/>
      </x:c>
      <x:c r="T20" s="13">
        <x:f t="shared" si="4"/>
      </x:c>
      <x:c r="U20" s="12" t="str">
        <x:f t="shared" ref="U20:AD29" si="5">IF(OR($G20="",$H20="",$H20&lt;$G20),"",IF(AND(U$9&lt;=$H20,U$9+6&gt;=$G20),1,""))</x:f>
      </x:c>
      <x:c r="V20" s="13">
        <x:f t="shared" si="5"/>
      </x:c>
      <x:c r="W20" s="12">
        <x:f t="shared" si="5"/>
      </x:c>
      <x:c r="X20" s="13">
        <x:f t="shared" si="5"/>
      </x:c>
      <x:c r="Y20" s="12">
        <x:f t="shared" si="5"/>
      </x:c>
      <x:c r="Z20" s="13">
        <x:f t="shared" si="5"/>
      </x:c>
      <x:c r="AA20" s="12">
        <x:f t="shared" si="5"/>
      </x:c>
      <x:c r="AB20" s="13">
        <x:f t="shared" si="5"/>
      </x:c>
      <x:c r="AC20" s="12">
        <x:f t="shared" si="5"/>
      </x:c>
      <x:c r="AD20" s="13">
        <x:f t="shared" si="5"/>
      </x:c>
    </x:row>
    <x:row r="21">
      <x:c r="B21" s="107"/>
      <x:c r="C21" s="108"/>
      <x:c r="D21" s="109"/>
      <x:c r="E21" s="109"/>
      <x:c r="F21" s="109"/>
      <x:c r="G21" s="17"/>
      <x:c r="H21" s="17"/>
      <x:c r="I21" s="11">
        <x:f t="shared" si="1"/>
      </x:c>
      <x:c r="J21" s="102"/>
      <x:c r="K21" s="12">
        <x:f t="shared" si="4"/>
      </x:c>
      <x:c r="L21" s="13">
        <x:f t="shared" si="4"/>
      </x:c>
      <x:c r="M21" s="12">
        <x:f t="shared" si="4"/>
      </x:c>
      <x:c r="N21" s="13">
        <x:f t="shared" si="4"/>
      </x:c>
      <x:c r="O21" s="12">
        <x:f t="shared" si="4"/>
      </x:c>
      <x:c r="P21" s="13">
        <x:f t="shared" si="4"/>
      </x:c>
      <x:c r="Q21" s="12">
        <x:f t="shared" si="4"/>
      </x:c>
      <x:c r="R21" s="13">
        <x:f t="shared" si="4"/>
      </x:c>
      <x:c r="S21" s="12">
        <x:f t="shared" si="4"/>
      </x:c>
      <x:c r="T21" s="13">
        <x:f t="shared" si="4"/>
      </x:c>
      <x:c r="U21" s="12">
        <x:f t="shared" si="5"/>
      </x:c>
      <x:c r="V21" s="13">
        <x:f t="shared" si="5"/>
      </x:c>
      <x:c r="W21" s="12">
        <x:f t="shared" si="5"/>
      </x:c>
      <x:c r="X21" s="13">
        <x:f t="shared" si="5"/>
      </x:c>
      <x:c r="Y21" s="12">
        <x:f t="shared" si="5"/>
      </x:c>
      <x:c r="Z21" s="13">
        <x:f t="shared" si="5"/>
      </x:c>
      <x:c r="AA21" s="12">
        <x:f t="shared" si="5"/>
      </x:c>
      <x:c r="AB21" s="13">
        <x:f t="shared" si="5"/>
      </x:c>
      <x:c r="AC21" s="12">
        <x:f t="shared" si="5"/>
      </x:c>
      <x:c r="AD21" s="13">
        <x:f t="shared" si="5"/>
      </x:c>
    </x:row>
    <x:row r="22">
      <x:c r="B22" s="110"/>
      <x:c r="C22" s="111"/>
      <x:c r="D22" s="112"/>
      <x:c r="E22" s="112"/>
      <x:c r="F22" s="112"/>
      <x:c r="G22" s="16"/>
      <x:c r="H22" s="16"/>
      <x:c r="I22" s="11">
        <x:f t="shared" si="1"/>
      </x:c>
      <x:c r="J22" s="102"/>
      <x:c r="K22" s="12">
        <x:f t="shared" si="4"/>
      </x:c>
      <x:c r="L22" s="13">
        <x:f t="shared" si="4"/>
      </x:c>
      <x:c r="M22" s="12">
        <x:f t="shared" si="4"/>
      </x:c>
      <x:c r="N22" s="13">
        <x:f t="shared" si="4"/>
      </x:c>
      <x:c r="O22" s="12">
        <x:f t="shared" si="4"/>
      </x:c>
      <x:c r="P22" s="13">
        <x:f t="shared" si="4"/>
      </x:c>
      <x:c r="Q22" s="12">
        <x:f t="shared" si="4"/>
      </x:c>
      <x:c r="R22" s="13">
        <x:f t="shared" si="4"/>
      </x:c>
      <x:c r="S22" s="12">
        <x:f t="shared" si="4"/>
      </x:c>
      <x:c r="T22" s="13">
        <x:f t="shared" si="4"/>
      </x:c>
      <x:c r="U22" s="12">
        <x:f t="shared" si="5"/>
      </x:c>
      <x:c r="V22" s="13">
        <x:f t="shared" si="5"/>
      </x:c>
      <x:c r="W22" s="12">
        <x:f t="shared" si="5"/>
      </x:c>
      <x:c r="X22" s="13">
        <x:f t="shared" si="5"/>
      </x:c>
      <x:c r="Y22" s="12">
        <x:f t="shared" si="5"/>
      </x:c>
      <x:c r="Z22" s="13">
        <x:f t="shared" si="5"/>
      </x:c>
      <x:c r="AA22" s="12">
        <x:f t="shared" si="5"/>
      </x:c>
      <x:c r="AB22" s="13">
        <x:f t="shared" si="5"/>
      </x:c>
      <x:c r="AC22" s="12">
        <x:f t="shared" si="5"/>
      </x:c>
      <x:c r="AD22" s="13">
        <x:f t="shared" si="5"/>
      </x:c>
    </x:row>
    <x:row r="23">
      <x:c r="B23" s="107"/>
      <x:c r="C23" s="108"/>
      <x:c r="D23" s="109"/>
      <x:c r="E23" s="109"/>
      <x:c r="F23" s="109"/>
      <x:c r="G23" s="17"/>
      <x:c r="H23" s="17"/>
      <x:c r="I23" s="11">
        <x:f t="shared" si="1"/>
      </x:c>
      <x:c r="J23" s="102"/>
      <x:c r="K23" s="12">
        <x:f t="shared" si="4"/>
      </x:c>
      <x:c r="L23" s="13">
        <x:f t="shared" si="4"/>
      </x:c>
      <x:c r="M23" s="12">
        <x:f t="shared" si="4"/>
      </x:c>
      <x:c r="N23" s="13">
        <x:f t="shared" si="4"/>
      </x:c>
      <x:c r="O23" s="12">
        <x:f t="shared" si="4"/>
      </x:c>
      <x:c r="P23" s="13">
        <x:f t="shared" si="4"/>
      </x:c>
      <x:c r="Q23" s="12">
        <x:f t="shared" si="4"/>
      </x:c>
      <x:c r="R23" s="13">
        <x:f t="shared" si="4"/>
      </x:c>
      <x:c r="S23" s="12">
        <x:f t="shared" si="4"/>
      </x:c>
      <x:c r="T23" s="13">
        <x:f t="shared" si="4"/>
      </x:c>
      <x:c r="U23" s="12">
        <x:f t="shared" si="5"/>
      </x:c>
      <x:c r="V23" s="13">
        <x:f t="shared" si="5"/>
      </x:c>
      <x:c r="W23" s="12">
        <x:f t="shared" si="5"/>
      </x:c>
      <x:c r="X23" s="13">
        <x:f t="shared" si="5"/>
      </x:c>
      <x:c r="Y23" s="12">
        <x:f t="shared" si="5"/>
      </x:c>
      <x:c r="Z23" s="13">
        <x:f t="shared" si="5"/>
      </x:c>
      <x:c r="AA23" s="12">
        <x:f t="shared" si="5"/>
      </x:c>
      <x:c r="AB23" s="13">
        <x:f t="shared" si="5"/>
      </x:c>
      <x:c r="AC23" s="12">
        <x:f t="shared" si="5"/>
      </x:c>
      <x:c r="AD23" s="13">
        <x:f t="shared" si="5"/>
      </x:c>
    </x:row>
    <x:row r="24">
      <x:c r="B24" s="110"/>
      <x:c r="C24" s="111"/>
      <x:c r="D24" s="112"/>
      <x:c r="E24" s="112"/>
      <x:c r="F24" s="112"/>
      <x:c r="G24" s="16"/>
      <x:c r="H24" s="16"/>
      <x:c r="I24" s="11">
        <x:f t="shared" si="1"/>
      </x:c>
      <x:c r="J24" s="102"/>
      <x:c r="K24" s="12">
        <x:f t="shared" si="4"/>
      </x:c>
      <x:c r="L24" s="13">
        <x:f t="shared" si="4"/>
      </x:c>
      <x:c r="M24" s="12">
        <x:f t="shared" si="4"/>
      </x:c>
      <x:c r="N24" s="13">
        <x:f t="shared" si="4"/>
      </x:c>
      <x:c r="O24" s="12">
        <x:f t="shared" si="4"/>
      </x:c>
      <x:c r="P24" s="13">
        <x:f t="shared" si="4"/>
      </x:c>
      <x:c r="Q24" s="12">
        <x:f t="shared" si="4"/>
      </x:c>
      <x:c r="R24" s="13">
        <x:f t="shared" si="4"/>
      </x:c>
      <x:c r="S24" s="12">
        <x:f t="shared" si="4"/>
      </x:c>
      <x:c r="T24" s="13">
        <x:f t="shared" si="4"/>
      </x:c>
      <x:c r="U24" s="12">
        <x:f t="shared" si="5"/>
      </x:c>
      <x:c r="V24" s="13">
        <x:f t="shared" si="5"/>
      </x:c>
      <x:c r="W24" s="12">
        <x:f t="shared" si="5"/>
      </x:c>
      <x:c r="X24" s="13">
        <x:f t="shared" si="5"/>
      </x:c>
      <x:c r="Y24" s="12">
        <x:f t="shared" si="5"/>
      </x:c>
      <x:c r="Z24" s="13">
        <x:f t="shared" si="5"/>
      </x:c>
      <x:c r="AA24" s="12">
        <x:f t="shared" si="5"/>
      </x:c>
      <x:c r="AB24" s="13">
        <x:f t="shared" si="5"/>
      </x:c>
      <x:c r="AC24" s="12">
        <x:f t="shared" si="5"/>
      </x:c>
      <x:c r="AD24" s="13">
        <x:f t="shared" si="5"/>
      </x:c>
    </x:row>
    <x:row r="25">
      <x:c r="B25" s="107"/>
      <x:c r="C25" s="108"/>
      <x:c r="D25" s="109"/>
      <x:c r="E25" s="109"/>
      <x:c r="F25" s="109"/>
      <x:c r="G25" s="17"/>
      <x:c r="H25" s="17"/>
      <x:c r="I25" s="11">
        <x:f t="shared" si="1"/>
      </x:c>
      <x:c r="J25" s="102"/>
      <x:c r="K25" s="12">
        <x:f t="shared" si="4"/>
      </x:c>
      <x:c r="L25" s="13">
        <x:f t="shared" si="4"/>
      </x:c>
      <x:c r="M25" s="12">
        <x:f t="shared" si="4"/>
      </x:c>
      <x:c r="N25" s="13">
        <x:f t="shared" si="4"/>
      </x:c>
      <x:c r="O25" s="12">
        <x:f t="shared" si="4"/>
      </x:c>
      <x:c r="P25" s="13">
        <x:f t="shared" si="4"/>
      </x:c>
      <x:c r="Q25" s="12">
        <x:f t="shared" si="4"/>
      </x:c>
      <x:c r="R25" s="13">
        <x:f t="shared" si="4"/>
      </x:c>
      <x:c r="S25" s="12">
        <x:f t="shared" si="4"/>
      </x:c>
      <x:c r="T25" s="13">
        <x:f t="shared" si="4"/>
      </x:c>
      <x:c r="U25" s="12">
        <x:f t="shared" si="5"/>
      </x:c>
      <x:c r="V25" s="13">
        <x:f t="shared" si="5"/>
      </x:c>
      <x:c r="W25" s="12">
        <x:f t="shared" si="5"/>
      </x:c>
      <x:c r="X25" s="13">
        <x:f t="shared" si="5"/>
      </x:c>
      <x:c r="Y25" s="12">
        <x:f t="shared" si="5"/>
      </x:c>
      <x:c r="Z25" s="13">
        <x:f t="shared" si="5"/>
      </x:c>
      <x:c r="AA25" s="12">
        <x:f t="shared" si="5"/>
      </x:c>
      <x:c r="AB25" s="13">
        <x:f t="shared" si="5"/>
      </x:c>
      <x:c r="AC25" s="12">
        <x:f t="shared" si="5"/>
      </x:c>
      <x:c r="AD25" s="13">
        <x:f t="shared" si="5"/>
      </x:c>
    </x:row>
    <x:row r="26">
      <x:c r="B26" s="110"/>
      <x:c r="C26" s="111"/>
      <x:c r="D26" s="112"/>
      <x:c r="E26" s="112"/>
      <x:c r="F26" s="112"/>
      <x:c r="G26" s="16"/>
      <x:c r="H26" s="16"/>
      <x:c r="I26" s="11">
        <x:f t="shared" si="1"/>
      </x:c>
      <x:c r="J26" s="102"/>
      <x:c r="K26" s="12">
        <x:f t="shared" si="4"/>
      </x:c>
      <x:c r="L26" s="13">
        <x:f t="shared" si="4"/>
      </x:c>
      <x:c r="M26" s="12">
        <x:f t="shared" si="4"/>
      </x:c>
      <x:c r="N26" s="13">
        <x:f t="shared" si="4"/>
      </x:c>
      <x:c r="O26" s="12">
        <x:f t="shared" si="4"/>
      </x:c>
      <x:c r="P26" s="13">
        <x:f t="shared" si="4"/>
      </x:c>
      <x:c r="Q26" s="12">
        <x:f t="shared" si="4"/>
      </x:c>
      <x:c r="R26" s="13">
        <x:f t="shared" si="4"/>
      </x:c>
      <x:c r="S26" s="12">
        <x:f t="shared" si="4"/>
      </x:c>
      <x:c r="T26" s="13">
        <x:f t="shared" si="4"/>
      </x:c>
      <x:c r="U26" s="12">
        <x:f t="shared" si="5"/>
      </x:c>
      <x:c r="V26" s="13">
        <x:f t="shared" si="5"/>
      </x:c>
      <x:c r="W26" s="12">
        <x:f t="shared" si="5"/>
      </x:c>
      <x:c r="X26" s="13">
        <x:f t="shared" si="5"/>
      </x:c>
      <x:c r="Y26" s="12">
        <x:f t="shared" si="5"/>
      </x:c>
      <x:c r="Z26" s="13">
        <x:f t="shared" si="5"/>
      </x:c>
      <x:c r="AA26" s="12">
        <x:f t="shared" si="5"/>
      </x:c>
      <x:c r="AB26" s="13">
        <x:f t="shared" si="5"/>
      </x:c>
      <x:c r="AC26" s="12">
        <x:f t="shared" si="5"/>
      </x:c>
      <x:c r="AD26" s="13">
        <x:f t="shared" si="5"/>
      </x:c>
    </x:row>
    <x:row r="27">
      <x:c r="B27" s="107"/>
      <x:c r="C27" s="108"/>
      <x:c r="D27" s="109"/>
      <x:c r="E27" s="109"/>
      <x:c r="F27" s="109"/>
      <x:c r="G27" s="17"/>
      <x:c r="H27" s="17"/>
      <x:c r="I27" s="11">
        <x:f t="shared" si="1"/>
      </x:c>
      <x:c r="J27" s="102"/>
      <x:c r="K27" s="12">
        <x:f t="shared" si="4"/>
      </x:c>
      <x:c r="L27" s="13">
        <x:f t="shared" si="4"/>
      </x:c>
      <x:c r="M27" s="12">
        <x:f t="shared" si="4"/>
      </x:c>
      <x:c r="N27" s="13">
        <x:f t="shared" si="4"/>
      </x:c>
      <x:c r="O27" s="12">
        <x:f t="shared" si="4"/>
      </x:c>
      <x:c r="P27" s="13">
        <x:f t="shared" si="4"/>
      </x:c>
      <x:c r="Q27" s="12">
        <x:f t="shared" si="4"/>
      </x:c>
      <x:c r="R27" s="13">
        <x:f t="shared" si="4"/>
      </x:c>
      <x:c r="S27" s="12">
        <x:f t="shared" si="4"/>
      </x:c>
      <x:c r="T27" s="13">
        <x:f t="shared" si="4"/>
      </x:c>
      <x:c r="U27" s="12">
        <x:f t="shared" si="5"/>
      </x:c>
      <x:c r="V27" s="13">
        <x:f t="shared" si="5"/>
      </x:c>
      <x:c r="W27" s="12">
        <x:f t="shared" si="5"/>
      </x:c>
      <x:c r="X27" s="13">
        <x:f t="shared" si="5"/>
      </x:c>
      <x:c r="Y27" s="12">
        <x:f t="shared" si="5"/>
      </x:c>
      <x:c r="Z27" s="13">
        <x:f t="shared" si="5"/>
      </x:c>
      <x:c r="AA27" s="12">
        <x:f t="shared" si="5"/>
      </x:c>
      <x:c r="AB27" s="13">
        <x:f t="shared" si="5"/>
      </x:c>
      <x:c r="AC27" s="12">
        <x:f t="shared" si="5"/>
      </x:c>
      <x:c r="AD27" s="13">
        <x:f t="shared" si="5"/>
      </x:c>
    </x:row>
    <x:row r="28">
      <x:c r="B28" s="110"/>
      <x:c r="C28" s="111"/>
      <x:c r="D28" s="112"/>
      <x:c r="E28" s="112"/>
      <x:c r="F28" s="112"/>
      <x:c r="G28" s="16"/>
      <x:c r="H28" s="16"/>
      <x:c r="I28" s="11">
        <x:f t="shared" si="1"/>
      </x:c>
      <x:c r="J28" s="102"/>
      <x:c r="K28" s="12">
        <x:f t="shared" si="4"/>
      </x:c>
      <x:c r="L28" s="13">
        <x:f t="shared" si="4"/>
      </x:c>
      <x:c r="M28" s="12">
        <x:f t="shared" si="4"/>
      </x:c>
      <x:c r="N28" s="13">
        <x:f t="shared" si="4"/>
      </x:c>
      <x:c r="O28" s="12">
        <x:f t="shared" si="4"/>
      </x:c>
      <x:c r="P28" s="13">
        <x:f t="shared" si="4"/>
      </x:c>
      <x:c r="Q28" s="12">
        <x:f t="shared" si="4"/>
      </x:c>
      <x:c r="R28" s="13">
        <x:f t="shared" si="4"/>
      </x:c>
      <x:c r="S28" s="12">
        <x:f t="shared" si="4"/>
      </x:c>
      <x:c r="T28" s="13">
        <x:f t="shared" si="4"/>
      </x:c>
      <x:c r="U28" s="12">
        <x:f t="shared" si="5"/>
      </x:c>
      <x:c r="V28" s="13">
        <x:f t="shared" si="5"/>
      </x:c>
      <x:c r="W28" s="12">
        <x:f t="shared" si="5"/>
      </x:c>
      <x:c r="X28" s="13">
        <x:f t="shared" si="5"/>
      </x:c>
      <x:c r="Y28" s="12">
        <x:f t="shared" si="5"/>
      </x:c>
      <x:c r="Z28" s="13">
        <x:f t="shared" si="5"/>
      </x:c>
      <x:c r="AA28" s="12">
        <x:f t="shared" si="5"/>
      </x:c>
      <x:c r="AB28" s="13">
        <x:f t="shared" si="5"/>
      </x:c>
      <x:c r="AC28" s="12">
        <x:f t="shared" si="5"/>
      </x:c>
      <x:c r="AD28" s="13">
        <x:f t="shared" si="5"/>
      </x:c>
    </x:row>
    <x:row r="29">
      <x:c r="B29" s="107"/>
      <x:c r="C29" s="108"/>
      <x:c r="D29" s="109"/>
      <x:c r="E29" s="109"/>
      <x:c r="F29" s="109"/>
      <x:c r="G29" s="17"/>
      <x:c r="H29" s="17"/>
      <x:c r="I29" s="11">
        <x:f t="shared" si="1"/>
      </x:c>
      <x:c r="J29" s="102"/>
      <x:c r="K29" s="12">
        <x:f t="shared" si="4"/>
      </x:c>
      <x:c r="L29" s="13">
        <x:f t="shared" si="4"/>
      </x:c>
      <x:c r="M29" s="12">
        <x:f t="shared" si="4"/>
      </x:c>
      <x:c r="N29" s="13">
        <x:f t="shared" si="4"/>
      </x:c>
      <x:c r="O29" s="12">
        <x:f t="shared" si="4"/>
      </x:c>
      <x:c r="P29" s="13">
        <x:f t="shared" si="4"/>
      </x:c>
      <x:c r="Q29" s="12">
        <x:f t="shared" si="4"/>
      </x:c>
      <x:c r="R29" s="13">
        <x:f t="shared" si="4"/>
      </x:c>
      <x:c r="S29" s="12">
        <x:f t="shared" si="4"/>
      </x:c>
      <x:c r="T29" s="13">
        <x:f t="shared" si="4"/>
      </x:c>
      <x:c r="U29" s="12">
        <x:f t="shared" si="5"/>
      </x:c>
      <x:c r="V29" s="13">
        <x:f t="shared" si="5"/>
      </x:c>
      <x:c r="W29" s="12">
        <x:f t="shared" si="5"/>
      </x:c>
      <x:c r="X29" s="13">
        <x:f t="shared" si="5"/>
      </x:c>
      <x:c r="Y29" s="12">
        <x:f t="shared" si="5"/>
      </x:c>
      <x:c r="Z29" s="13">
        <x:f t="shared" si="5"/>
      </x:c>
      <x:c r="AA29" s="12">
        <x:f t="shared" si="5"/>
      </x:c>
      <x:c r="AB29" s="13">
        <x:f t="shared" si="5"/>
      </x:c>
      <x:c r="AC29" s="12">
        <x:f t="shared" si="5"/>
      </x:c>
      <x:c r="AD29" s="13">
        <x:f t="shared" si="5"/>
      </x:c>
    </x:row>
    <x:row r="30">
      <x:c r="B30" s="110"/>
      <x:c r="C30" s="111"/>
      <x:c r="D30" s="112"/>
      <x:c r="E30" s="112"/>
      <x:c r="F30" s="112"/>
      <x:c r="G30" s="16"/>
      <x:c r="H30" s="16"/>
      <x:c r="I30" s="11">
        <x:f t="shared" si="1"/>
      </x:c>
      <x:c r="J30" s="102"/>
      <x:c r="K30" s="12" t="str">
        <x:f t="shared" ref="K30:T39" si="6">IF(OR($G30="",$H30="",$H30&lt;$G30),"",IF(AND(K$9&lt;=$H30,K$9+6&gt;=$G30),1,""))</x:f>
      </x:c>
      <x:c r="L30" s="13">
        <x:f t="shared" si="6"/>
      </x:c>
      <x:c r="M30" s="12">
        <x:f t="shared" si="6"/>
      </x:c>
      <x:c r="N30" s="13">
        <x:f t="shared" si="6"/>
      </x:c>
      <x:c r="O30" s="12">
        <x:f t="shared" si="6"/>
      </x:c>
      <x:c r="P30" s="13">
        <x:f t="shared" si="6"/>
      </x:c>
      <x:c r="Q30" s="12">
        <x:f t="shared" si="6"/>
      </x:c>
      <x:c r="R30" s="13">
        <x:f t="shared" si="6"/>
      </x:c>
      <x:c r="S30" s="12">
        <x:f t="shared" si="6"/>
      </x:c>
      <x:c r="T30" s="13">
        <x:f t="shared" si="6"/>
      </x:c>
      <x:c r="U30" s="12" t="str">
        <x:f t="shared" ref="U30:AD39" si="7">IF(OR($G30="",$H30="",$H30&lt;$G30),"",IF(AND(U$9&lt;=$H30,U$9+6&gt;=$G30),1,""))</x:f>
      </x:c>
      <x:c r="V30" s="13">
        <x:f t="shared" si="7"/>
      </x:c>
      <x:c r="W30" s="12">
        <x:f t="shared" si="7"/>
      </x:c>
      <x:c r="X30" s="13">
        <x:f t="shared" si="7"/>
      </x:c>
      <x:c r="Y30" s="12">
        <x:f t="shared" si="7"/>
      </x:c>
      <x:c r="Z30" s="13">
        <x:f t="shared" si="7"/>
      </x:c>
      <x:c r="AA30" s="12">
        <x:f t="shared" si="7"/>
      </x:c>
      <x:c r="AB30" s="13">
        <x:f t="shared" si="7"/>
      </x:c>
      <x:c r="AC30" s="12">
        <x:f t="shared" si="7"/>
      </x:c>
      <x:c r="AD30" s="13">
        <x:f t="shared" si="7"/>
      </x:c>
    </x:row>
    <x:row r="31">
      <x:c r="B31" s="107"/>
      <x:c r="C31" s="108"/>
      <x:c r="D31" s="109"/>
      <x:c r="E31" s="109"/>
      <x:c r="F31" s="109"/>
      <x:c r="G31" s="10"/>
      <x:c r="H31" s="10"/>
      <x:c r="I31" s="11">
        <x:f t="shared" si="1"/>
      </x:c>
      <x:c r="J31" s="102"/>
      <x:c r="K31" s="12">
        <x:f t="shared" si="6"/>
      </x:c>
      <x:c r="L31" s="13">
        <x:f t="shared" si="6"/>
      </x:c>
      <x:c r="M31" s="12">
        <x:f t="shared" si="6"/>
      </x:c>
      <x:c r="N31" s="13">
        <x:f t="shared" si="6"/>
      </x:c>
      <x:c r="O31" s="12">
        <x:f t="shared" si="6"/>
      </x:c>
      <x:c r="P31" s="13">
        <x:f t="shared" si="6"/>
      </x:c>
      <x:c r="Q31" s="12">
        <x:f t="shared" si="6"/>
      </x:c>
      <x:c r="R31" s="13">
        <x:f t="shared" si="6"/>
      </x:c>
      <x:c r="S31" s="12">
        <x:f t="shared" si="6"/>
      </x:c>
      <x:c r="T31" s="13">
        <x:f t="shared" si="6"/>
      </x:c>
      <x:c r="U31" s="12">
        <x:f t="shared" si="7"/>
      </x:c>
      <x:c r="V31" s="13">
        <x:f t="shared" si="7"/>
      </x:c>
      <x:c r="W31" s="12">
        <x:f t="shared" si="7"/>
      </x:c>
      <x:c r="X31" s="13">
        <x:f t="shared" si="7"/>
      </x:c>
      <x:c r="Y31" s="12">
        <x:f t="shared" si="7"/>
      </x:c>
      <x:c r="Z31" s="13">
        <x:f t="shared" si="7"/>
      </x:c>
      <x:c r="AA31" s="12">
        <x:f t="shared" si="7"/>
      </x:c>
      <x:c r="AB31" s="13">
        <x:f t="shared" si="7"/>
      </x:c>
      <x:c r="AC31" s="12">
        <x:f t="shared" si="7"/>
      </x:c>
      <x:c r="AD31" s="13">
        <x:f t="shared" si="7"/>
      </x:c>
    </x:row>
    <x:row r="32">
      <x:c r="B32" s="110"/>
      <x:c r="C32" s="111"/>
      <x:c r="D32" s="112"/>
      <x:c r="E32" s="112"/>
      <x:c r="F32" s="112"/>
      <x:c r="G32" s="9"/>
      <x:c r="H32" s="9"/>
      <x:c r="I32" s="11">
        <x:f t="shared" si="1"/>
      </x:c>
      <x:c r="J32" s="102"/>
      <x:c r="K32" s="12">
        <x:f t="shared" si="6"/>
      </x:c>
      <x:c r="L32" s="13">
        <x:f t="shared" si="6"/>
      </x:c>
      <x:c r="M32" s="12">
        <x:f t="shared" si="6"/>
      </x:c>
      <x:c r="N32" s="13">
        <x:f t="shared" si="6"/>
      </x:c>
      <x:c r="O32" s="12">
        <x:f t="shared" si="6"/>
      </x:c>
      <x:c r="P32" s="13">
        <x:f t="shared" si="6"/>
      </x:c>
      <x:c r="Q32" s="12">
        <x:f t="shared" si="6"/>
      </x:c>
      <x:c r="R32" s="13">
        <x:f t="shared" si="6"/>
      </x:c>
      <x:c r="S32" s="12">
        <x:f t="shared" si="6"/>
      </x:c>
      <x:c r="T32" s="13">
        <x:f t="shared" si="6"/>
      </x:c>
      <x:c r="U32" s="12">
        <x:f t="shared" si="7"/>
      </x:c>
      <x:c r="V32" s="13">
        <x:f t="shared" si="7"/>
      </x:c>
      <x:c r="W32" s="12">
        <x:f t="shared" si="7"/>
      </x:c>
      <x:c r="X32" s="13">
        <x:f t="shared" si="7"/>
      </x:c>
      <x:c r="Y32" s="12">
        <x:f t="shared" si="7"/>
      </x:c>
      <x:c r="Z32" s="13">
        <x:f t="shared" si="7"/>
      </x:c>
      <x:c r="AA32" s="12">
        <x:f t="shared" si="7"/>
      </x:c>
      <x:c r="AB32" s="13">
        <x:f t="shared" si="7"/>
      </x:c>
      <x:c r="AC32" s="12">
        <x:f t="shared" si="7"/>
      </x:c>
      <x:c r="AD32" s="13">
        <x:f t="shared" si="7"/>
      </x:c>
    </x:row>
    <x:row r="33">
      <x:c r="B33" s="107"/>
      <x:c r="C33" s="108"/>
      <x:c r="D33" s="109"/>
      <x:c r="E33" s="109"/>
      <x:c r="F33" s="109"/>
      <x:c r="G33" s="10"/>
      <x:c r="H33" s="10"/>
      <x:c r="I33" s="11">
        <x:f t="shared" si="1"/>
      </x:c>
      <x:c r="J33" s="102"/>
      <x:c r="K33" s="12">
        <x:f t="shared" si="6"/>
      </x:c>
      <x:c r="L33" s="13">
        <x:f t="shared" si="6"/>
      </x:c>
      <x:c r="M33" s="12">
        <x:f t="shared" si="6"/>
      </x:c>
      <x:c r="N33" s="13">
        <x:f t="shared" si="6"/>
      </x:c>
      <x:c r="O33" s="12">
        <x:f t="shared" si="6"/>
      </x:c>
      <x:c r="P33" s="13">
        <x:f t="shared" si="6"/>
      </x:c>
      <x:c r="Q33" s="12">
        <x:f t="shared" si="6"/>
      </x:c>
      <x:c r="R33" s="13">
        <x:f t="shared" si="6"/>
      </x:c>
      <x:c r="S33" s="12">
        <x:f t="shared" si="6"/>
      </x:c>
      <x:c r="T33" s="13">
        <x:f t="shared" si="6"/>
      </x:c>
      <x:c r="U33" s="12">
        <x:f t="shared" si="7"/>
      </x:c>
      <x:c r="V33" s="13">
        <x:f t="shared" si="7"/>
      </x:c>
      <x:c r="W33" s="12">
        <x:f t="shared" si="7"/>
      </x:c>
      <x:c r="X33" s="13">
        <x:f t="shared" si="7"/>
      </x:c>
      <x:c r="Y33" s="12">
        <x:f t="shared" si="7"/>
      </x:c>
      <x:c r="Z33" s="13">
        <x:f t="shared" si="7"/>
      </x:c>
      <x:c r="AA33" s="12">
        <x:f t="shared" si="7"/>
      </x:c>
      <x:c r="AB33" s="13">
        <x:f t="shared" si="7"/>
      </x:c>
      <x:c r="AC33" s="12">
        <x:f t="shared" si="7"/>
      </x:c>
      <x:c r="AD33" s="13">
        <x:f t="shared" si="7"/>
      </x:c>
    </x:row>
    <x:row r="34">
      <x:c r="B34" s="110"/>
      <x:c r="C34" s="111"/>
      <x:c r="D34" s="112"/>
      <x:c r="E34" s="112"/>
      <x:c r="F34" s="112"/>
      <x:c r="G34" s="9"/>
      <x:c r="H34" s="9"/>
      <x:c r="I34" s="11">
        <x:f t="shared" si="1"/>
      </x:c>
      <x:c r="J34" s="102"/>
      <x:c r="K34" s="12">
        <x:f t="shared" si="6"/>
      </x:c>
      <x:c r="L34" s="13">
        <x:f t="shared" si="6"/>
      </x:c>
      <x:c r="M34" s="12">
        <x:f t="shared" si="6"/>
      </x:c>
      <x:c r="N34" s="13">
        <x:f t="shared" si="6"/>
      </x:c>
      <x:c r="O34" s="12">
        <x:f t="shared" si="6"/>
      </x:c>
      <x:c r="P34" s="13">
        <x:f t="shared" si="6"/>
      </x:c>
      <x:c r="Q34" s="12">
        <x:f t="shared" si="6"/>
      </x:c>
      <x:c r="R34" s="13">
        <x:f t="shared" si="6"/>
      </x:c>
      <x:c r="S34" s="12">
        <x:f t="shared" si="6"/>
      </x:c>
      <x:c r="T34" s="13">
        <x:f t="shared" si="6"/>
      </x:c>
      <x:c r="U34" s="12">
        <x:f t="shared" si="7"/>
      </x:c>
      <x:c r="V34" s="13">
        <x:f t="shared" si="7"/>
      </x:c>
      <x:c r="W34" s="12">
        <x:f t="shared" si="7"/>
      </x:c>
      <x:c r="X34" s="13">
        <x:f t="shared" si="7"/>
      </x:c>
      <x:c r="Y34" s="12">
        <x:f t="shared" si="7"/>
      </x:c>
      <x:c r="Z34" s="13">
        <x:f t="shared" si="7"/>
      </x:c>
      <x:c r="AA34" s="12">
        <x:f t="shared" si="7"/>
      </x:c>
      <x:c r="AB34" s="13">
        <x:f t="shared" si="7"/>
      </x:c>
      <x:c r="AC34" s="12">
        <x:f t="shared" si="7"/>
      </x:c>
      <x:c r="AD34" s="13">
        <x:f t="shared" si="7"/>
      </x:c>
    </x:row>
    <x:row r="35">
      <x:c r="B35" s="107"/>
      <x:c r="C35" s="108"/>
      <x:c r="D35" s="109"/>
      <x:c r="E35" s="109"/>
      <x:c r="F35" s="109"/>
      <x:c r="G35" s="10"/>
      <x:c r="H35" s="10"/>
      <x:c r="I35" s="11">
        <x:f t="shared" si="1"/>
      </x:c>
      <x:c r="J35" s="102"/>
      <x:c r="K35" s="12">
        <x:f t="shared" si="6"/>
      </x:c>
      <x:c r="L35" s="13">
        <x:f t="shared" si="6"/>
      </x:c>
      <x:c r="M35" s="12">
        <x:f t="shared" si="6"/>
      </x:c>
      <x:c r="N35" s="13">
        <x:f t="shared" si="6"/>
      </x:c>
      <x:c r="O35" s="12">
        <x:f t="shared" si="6"/>
      </x:c>
      <x:c r="P35" s="13">
        <x:f t="shared" si="6"/>
      </x:c>
      <x:c r="Q35" s="12">
        <x:f t="shared" si="6"/>
      </x:c>
      <x:c r="R35" s="13">
        <x:f t="shared" si="6"/>
      </x:c>
      <x:c r="S35" s="12">
        <x:f t="shared" si="6"/>
      </x:c>
      <x:c r="T35" s="13">
        <x:f t="shared" si="6"/>
      </x:c>
      <x:c r="U35" s="12">
        <x:f t="shared" si="7"/>
      </x:c>
      <x:c r="V35" s="13">
        <x:f t="shared" si="7"/>
      </x:c>
      <x:c r="W35" s="12">
        <x:f t="shared" si="7"/>
      </x:c>
      <x:c r="X35" s="13">
        <x:f t="shared" si="7"/>
      </x:c>
      <x:c r="Y35" s="12">
        <x:f t="shared" si="7"/>
      </x:c>
      <x:c r="Z35" s="13">
        <x:f t="shared" si="7"/>
      </x:c>
      <x:c r="AA35" s="12">
        <x:f t="shared" si="7"/>
      </x:c>
      <x:c r="AB35" s="13">
        <x:f t="shared" si="7"/>
      </x:c>
      <x:c r="AC35" s="12">
        <x:f t="shared" si="7"/>
      </x:c>
      <x:c r="AD35" s="13">
        <x:f t="shared" si="7"/>
      </x:c>
    </x:row>
    <x:row r="36">
      <x:c r="B36" s="110"/>
      <x:c r="C36" s="111"/>
      <x:c r="D36" s="112"/>
      <x:c r="E36" s="112"/>
      <x:c r="F36" s="112"/>
      <x:c r="G36" s="9"/>
      <x:c r="H36" s="9"/>
      <x:c r="I36" s="11">
        <x:f t="shared" si="1"/>
      </x:c>
      <x:c r="J36" s="102"/>
      <x:c r="K36" s="12">
        <x:f t="shared" si="6"/>
      </x:c>
      <x:c r="L36" s="13">
        <x:f t="shared" si="6"/>
      </x:c>
      <x:c r="M36" s="12">
        <x:f t="shared" si="6"/>
      </x:c>
      <x:c r="N36" s="13">
        <x:f t="shared" si="6"/>
      </x:c>
      <x:c r="O36" s="12">
        <x:f t="shared" si="6"/>
      </x:c>
      <x:c r="P36" s="13">
        <x:f t="shared" si="6"/>
      </x:c>
      <x:c r="Q36" s="12">
        <x:f t="shared" si="6"/>
      </x:c>
      <x:c r="R36" s="13">
        <x:f t="shared" si="6"/>
      </x:c>
      <x:c r="S36" s="12">
        <x:f t="shared" si="6"/>
      </x:c>
      <x:c r="T36" s="13">
        <x:f t="shared" si="6"/>
      </x:c>
      <x:c r="U36" s="12">
        <x:f t="shared" si="7"/>
      </x:c>
      <x:c r="V36" s="13">
        <x:f t="shared" si="7"/>
      </x:c>
      <x:c r="W36" s="12">
        <x:f t="shared" si="7"/>
      </x:c>
      <x:c r="X36" s="13">
        <x:f t="shared" si="7"/>
      </x:c>
      <x:c r="Y36" s="12">
        <x:f t="shared" si="7"/>
      </x:c>
      <x:c r="Z36" s="13">
        <x:f t="shared" si="7"/>
      </x:c>
      <x:c r="AA36" s="12">
        <x:f t="shared" si="7"/>
      </x:c>
      <x:c r="AB36" s="13">
        <x:f t="shared" si="7"/>
      </x:c>
      <x:c r="AC36" s="12">
        <x:f t="shared" si="7"/>
      </x:c>
      <x:c r="AD36" s="13">
        <x:f t="shared" si="7"/>
      </x:c>
    </x:row>
    <x:row r="37">
      <x:c r="B37" s="107"/>
      <x:c r="C37" s="108"/>
      <x:c r="D37" s="109"/>
      <x:c r="E37" s="109"/>
      <x:c r="F37" s="109"/>
      <x:c r="G37" s="10"/>
      <x:c r="H37" s="10"/>
      <x:c r="I37" s="11">
        <x:f t="shared" si="1"/>
      </x:c>
      <x:c r="J37" s="102"/>
      <x:c r="K37" s="12">
        <x:f t="shared" si="6"/>
      </x:c>
      <x:c r="L37" s="13">
        <x:f t="shared" si="6"/>
      </x:c>
      <x:c r="M37" s="12">
        <x:f t="shared" si="6"/>
      </x:c>
      <x:c r="N37" s="13">
        <x:f t="shared" si="6"/>
      </x:c>
      <x:c r="O37" s="12">
        <x:f t="shared" si="6"/>
      </x:c>
      <x:c r="P37" s="13">
        <x:f t="shared" si="6"/>
      </x:c>
      <x:c r="Q37" s="12">
        <x:f t="shared" si="6"/>
      </x:c>
      <x:c r="R37" s="13">
        <x:f t="shared" si="6"/>
      </x:c>
      <x:c r="S37" s="12">
        <x:f t="shared" si="6"/>
      </x:c>
      <x:c r="T37" s="13">
        <x:f t="shared" si="6"/>
      </x:c>
      <x:c r="U37" s="12">
        <x:f t="shared" si="7"/>
      </x:c>
      <x:c r="V37" s="13">
        <x:f t="shared" si="7"/>
      </x:c>
      <x:c r="W37" s="12">
        <x:f t="shared" si="7"/>
      </x:c>
      <x:c r="X37" s="13">
        <x:f t="shared" si="7"/>
      </x:c>
      <x:c r="Y37" s="12">
        <x:f t="shared" si="7"/>
      </x:c>
      <x:c r="Z37" s="13">
        <x:f t="shared" si="7"/>
      </x:c>
      <x:c r="AA37" s="12">
        <x:f t="shared" si="7"/>
      </x:c>
      <x:c r="AB37" s="13">
        <x:f t="shared" si="7"/>
      </x:c>
      <x:c r="AC37" s="12">
        <x:f t="shared" si="7"/>
      </x:c>
      <x:c r="AD37" s="13">
        <x:f t="shared" si="7"/>
      </x:c>
    </x:row>
    <x:row r="38">
      <x:c r="B38" s="110"/>
      <x:c r="C38" s="111"/>
      <x:c r="D38" s="112"/>
      <x:c r="E38" s="112"/>
      <x:c r="F38" s="112"/>
      <x:c r="G38" s="9"/>
      <x:c r="H38" s="9"/>
      <x:c r="I38" s="11">
        <x:f t="shared" si="1"/>
      </x:c>
      <x:c r="J38" s="102"/>
      <x:c r="K38" s="12">
        <x:f t="shared" si="6"/>
      </x:c>
      <x:c r="L38" s="13">
        <x:f t="shared" si="6"/>
      </x:c>
      <x:c r="M38" s="12">
        <x:f t="shared" si="6"/>
      </x:c>
      <x:c r="N38" s="13">
        <x:f t="shared" si="6"/>
      </x:c>
      <x:c r="O38" s="12">
        <x:f t="shared" si="6"/>
      </x:c>
      <x:c r="P38" s="13">
        <x:f t="shared" si="6"/>
      </x:c>
      <x:c r="Q38" s="12">
        <x:f t="shared" si="6"/>
      </x:c>
      <x:c r="R38" s="13">
        <x:f t="shared" si="6"/>
      </x:c>
      <x:c r="S38" s="12">
        <x:f t="shared" si="6"/>
      </x:c>
      <x:c r="T38" s="13">
        <x:f t="shared" si="6"/>
      </x:c>
      <x:c r="U38" s="12">
        <x:f t="shared" si="7"/>
      </x:c>
      <x:c r="V38" s="13">
        <x:f t="shared" si="7"/>
      </x:c>
      <x:c r="W38" s="12">
        <x:f t="shared" si="7"/>
      </x:c>
      <x:c r="X38" s="13">
        <x:f t="shared" si="7"/>
      </x:c>
      <x:c r="Y38" s="12">
        <x:f t="shared" si="7"/>
      </x:c>
      <x:c r="Z38" s="13">
        <x:f t="shared" si="7"/>
      </x:c>
      <x:c r="AA38" s="12">
        <x:f t="shared" si="7"/>
      </x:c>
      <x:c r="AB38" s="13">
        <x:f t="shared" si="7"/>
      </x:c>
      <x:c r="AC38" s="12">
        <x:f t="shared" si="7"/>
      </x:c>
      <x:c r="AD38" s="13">
        <x:f t="shared" si="7"/>
      </x:c>
    </x:row>
    <x:row r="39">
      <x:c r="B39" s="107"/>
      <x:c r="C39" s="108"/>
      <x:c r="D39" s="109"/>
      <x:c r="E39" s="109"/>
      <x:c r="F39" s="109"/>
      <x:c r="G39" s="10"/>
      <x:c r="H39" s="10"/>
      <x:c r="I39" s="11">
        <x:f t="shared" si="1"/>
      </x:c>
      <x:c r="J39" s="102"/>
      <x:c r="K39" s="12">
        <x:f t="shared" si="6"/>
      </x:c>
      <x:c r="L39" s="13">
        <x:f t="shared" si="6"/>
      </x:c>
      <x:c r="M39" s="12">
        <x:f t="shared" si="6"/>
      </x:c>
      <x:c r="N39" s="13">
        <x:f t="shared" si="6"/>
      </x:c>
      <x:c r="O39" s="12">
        <x:f t="shared" si="6"/>
      </x:c>
      <x:c r="P39" s="13">
        <x:f t="shared" si="6"/>
      </x:c>
      <x:c r="Q39" s="12">
        <x:f t="shared" si="6"/>
      </x:c>
      <x:c r="R39" s="13">
        <x:f t="shared" si="6"/>
      </x:c>
      <x:c r="S39" s="12">
        <x:f t="shared" si="6"/>
      </x:c>
      <x:c r="T39" s="13">
        <x:f t="shared" si="6"/>
      </x:c>
      <x:c r="U39" s="12">
        <x:f t="shared" si="7"/>
      </x:c>
      <x:c r="V39" s="13">
        <x:f t="shared" si="7"/>
      </x:c>
      <x:c r="W39" s="12">
        <x:f t="shared" si="7"/>
      </x:c>
      <x:c r="X39" s="13">
        <x:f t="shared" si="7"/>
      </x:c>
      <x:c r="Y39" s="12">
        <x:f t="shared" si="7"/>
      </x:c>
      <x:c r="Z39" s="13">
        <x:f t="shared" si="7"/>
      </x:c>
      <x:c r="AA39" s="12">
        <x:f t="shared" si="7"/>
      </x:c>
      <x:c r="AB39" s="13">
        <x:f t="shared" si="7"/>
      </x:c>
      <x:c r="AC39" s="12">
        <x:f t="shared" si="7"/>
      </x:c>
      <x:c r="AD39" s="13">
        <x:f t="shared" si="7"/>
      </x:c>
    </x:row>
    <x:row r="40"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</x:row>
    <x:row r="41" ht="24" customHeight="1">
      <x:c r="B41" s="113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4"/>
      <x:c r="T41" s="114"/>
      <x:c r="U41" s="114"/>
      <x:c r="V41" s="114"/>
      <x:c r="W41" s="114"/>
      <x:c r="X41" s="114"/>
      <x:c r="Y41" s="114"/>
      <x:c r="Z41" s="114"/>
      <x:c r="AA41" s="114"/>
      <x:c r="AB41" s="114"/>
      <x:c r="AC41" s="114"/>
      <x:c r="AD41" s="115"/>
    </x:row>
    <x:row r="42" ht="24" customHeight="1">
      <x:c r="B42" s="116"/>
      <x:c r="C42" s="117"/>
      <x:c r="D42" s="117"/>
      <x:c r="E42" s="117"/>
      <x:c r="F42" s="117"/>
      <x:c r="G42" s="117"/>
      <x:c r="H42" s="117"/>
      <x:c r="I42" s="117"/>
      <x:c r="J42" s="117"/>
      <x:c r="K42" s="117"/>
      <x:c r="L42" s="117"/>
      <x:c r="M42" s="117"/>
      <x:c r="N42" s="117"/>
      <x:c r="O42" s="117"/>
      <x:c r="P42" s="117"/>
      <x:c r="Q42" s="117"/>
      <x:c r="R42" s="117"/>
      <x:c r="S42" s="117"/>
      <x:c r="T42" s="117"/>
      <x:c r="U42" s="117"/>
      <x:c r="V42" s="117"/>
      <x:c r="W42" s="117"/>
      <x:c r="X42" s="117"/>
      <x:c r="Y42" s="117"/>
      <x:c r="Z42" s="117"/>
      <x:c r="AA42" s="117"/>
      <x:c r="AB42" s="117"/>
      <x:c r="AC42" s="117"/>
      <x:c r="AD42" s="118"/>
    </x:row>
  </x:sheetData>
  <x:mergeCells>
    <x:mergeCell ref="B2:Q2"/>
    <x:mergeCell ref="B4:I4"/>
    <x:mergeCell ref="K4:Q4"/>
    <x:mergeCell ref="C5:E5"/>
    <x:mergeCell ref="F5:G5"/>
    <x:mergeCell ref="H5:I5"/>
    <x:mergeCell ref="C6:E6"/>
    <x:mergeCell ref="F6:G6"/>
    <x:mergeCell ref="H6:I6"/>
    <x:mergeCell ref="B8:I8"/>
    <x:mergeCell ref="K8:Q8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conditionalFormatting sqref="L10:Q20">
    <x:cfRule type="containsText" dxfId="11" priority="12" operator="containsText" text="X"/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c29be27b444f48"/>
  </x:tableParts>
</x:worksheet>
</file>

<file path=xl/worksheets/sheet2.xml><?xml version="1.0" encoding="utf-8"?>
<x:worksheet xmlns:x="http://schemas.openxmlformats.org/spreadsheetml/2006/main">
  <x:sheetPr>
    <x:tabColor rgb="FF4F6BE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11" hidden="0" customWidth="1"/>
    <x:col min="5" max="5" width="28" hidden="0" customWidth="1"/>
    <x:col min="6" max="6" width="29" hidden="0" customWidth="1"/>
    <x:col min="7" max="7" width="25" hidden="0" customWidth="1"/>
    <x:col min="8" max="8" width="42" hidden="0" customWidth="1"/>
    <x:col min="9" max="9" width="27" hidden="0" customWidth="1"/>
    <x:col min="10" max="10" width="15" hidden="0" customWidth="1"/>
    <x:col min="11" max="11" width="10" hidden="0" customWidth="1"/>
    <x:col min="12" max="12" width="35" hidden="0" customWidth="1"/>
  </x:cols>
  <x:sheetData>
    <x:row r="1">
      <x:c r="A1" s="88" t="str">
        <x:v>Matrice de traçabilité des exigences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>
      <x:c r="A2" s="89" t="str">
        <x:v>Référence de vérification MATLAB/Simulink. L'état décrit le dépôt actuel et non une validation véhicule achevée.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</x:row>
    <x:row r="4" ht="34" customHeight="1">
      <x:c r="A4" s="93" t="str">
        <x:v>Exigence</x:v>
      </x:c>
      <x:c r="B4" s="93" t="str">
        <x:v>Clause</x:v>
      </x:c>
      <x:c r="C4" s="93" t="str">
        <x:v>ID de vérification</x:v>
      </x:c>
      <x:c r="D4" s="93" t="str">
        <x:v>Périmètre</x:v>
      </x:c>
      <x:c r="E4" s="93" t="str">
        <x:v>Élément vérifié</x:v>
      </x:c>
      <x:c r="F4" s="93" t="str">
        <x:v>Point d'entrée MATLAB</x:v>
      </x:c>
      <x:c r="G4" s="93" t="str">
        <x:v>ID des scénarios</x:v>
      </x:c>
      <x:c r="H4" s="93" t="str">
        <x:v>Critère numérique</x:v>
      </x:c>
      <x:c r="I4" s="93" t="str">
        <x:v>Preuve produite</x:v>
      </x:c>
      <x:c r="J4" s="93" t="str">
        <x:v>État</x:v>
      </x:c>
      <x:c r="K4" s="93" t="str">
        <x:v>Gate</x:v>
      </x:c>
      <x:c r="L4" s="93" t="str">
        <x:v>Notes</x:v>
      </x:c>
    </x:row>
    <x:row r="5" ht="34" customHeight="1">
      <x:c r="A5" s="95" t="str">
        <x:v>REQ-01</x:v>
      </x:c>
      <x:c r="B5" s="95" t="str">
        <x:v>a</x:v>
      </x:c>
      <x:c r="C5" s="95" t="str">
        <x:v>UT-01</x:v>
      </x:c>
      <x:c r="D5" s="95" t="str">
        <x:v>Cœur</x:v>
      </x:c>
      <x:c r="E5" s="95" t="str">
        <x:v>Limites de force et de direction</x:v>
      </x:c>
      <x:c r="F5" s="95" t="str">
        <x:v>tests/TestControlAllocator.m</x:v>
      </x:c>
      <x:c r="G5" s="95" t="str">
        <x:v>Tous</x:v>
      </x:c>
      <x:c r="H5" s="95" t="str">
        <x:v>Chaque commande respecte les limites physiques</x:v>
      </x:c>
      <x:c r="I5" s="95" t="str">
        <x:v>unit_test_results.csv</x:v>
      </x:c>
      <x:c r="J5" s="95" t="str">
        <x:v>Automatisé</x:v>
      </x:c>
      <x:c r="K5" s="95" t="str">
        <x:v>G2</x:v>
      </x:c>
      <x:c r="L5" s="95" t="str">
        <x:v>La campagne contrôle aussi chaque échantillon</x:v>
      </x:c>
    </x:row>
    <x:row r="6" ht="34" customHeight="1">
      <x:c r="A6" s="94" t="str">
        <x:v>REQ-01</x:v>
      </x:c>
      <x:c r="B6" s="94" t="str">
        <x:v>b</x:v>
      </x:c>
      <x:c r="C6" s="94" t="str">
        <x:v>UT-02</x:v>
      </x:c>
      <x:c r="D6" s="94" t="str">
        <x:v>Cœur</x:v>
      </x:c>
      <x:c r="E6" s="94" t="str">
        <x:v>Limites de variation des actionneurs sains</x:v>
      </x:c>
      <x:c r="F6" s="94" t="str">
        <x:v>tests/TestControlAllocator.m</x:v>
      </x:c>
      <x:c r="G6" s="94" t="str">
        <x:v>Tous</x:v>
      </x:c>
      <x:c r="H6" s="94" t="str">
        <x:v>Frein &lt;= 40 kN/s ; direction &lt;= 400 deg/s</x:v>
      </x:c>
      <x:c r="I6" s="94" t="str">
        <x:v>unit_test_results.csv</x:v>
      </x:c>
      <x:c r="J6" s="94" t="str">
        <x:v>Automatisé</x:v>
      </x:c>
      <x:c r="K6" s="94" t="str">
        <x:v>G2</x:v>
      </x:c>
      <x:c r="L6" s="94" t="str">
        <x:v>Période d'allocation de 2 ms</x:v>
      </x:c>
    </x:row>
    <x:row r="7" ht="34" customHeight="1">
      <x:c r="A7" s="95" t="str">
        <x:v>REQ-01</x:v>
      </x:c>
      <x:c r="B7" s="95" t="str">
        <x:v>c</x:v>
      </x:c>
      <x:c r="C7" s="95" t="str">
        <x:v>VAL-01</x:v>
      </x:c>
      <x:c r="D7" s="95" t="str">
        <x:v>Cœur</x:v>
      </x:c>
      <x:c r="E7" s="95" t="str">
        <x:v>Solution au mieux réalisable pour une demande impossible</x:v>
      </x:c>
      <x:c r="F7" s="95" t="str">
        <x:v>validation/run_validation_campaign.m</x:v>
      </x:c>
      <x:c r="G7" s="95" t="str">
        <x:v>CAP-01</x:v>
      </x:c>
      <x:c r="H7" s="95" t="str">
        <x:v>Le freinage reste négatif et atteint &gt;=95 % de l'autorité disponible</x:v>
      </x:c>
      <x:c r="I7" s="95" t="str">
        <x:v>CAP-01/tracking.png</x:v>
      </x:c>
      <x:c r="J7" s="95" t="str">
        <x:v>Automatisé</x:v>
      </x:c>
      <x:c r="K7" s="95" t="str">
        <x:v>G2</x:v>
      </x:c>
      <x:c r="L7" s="95" t="str">
        <x:v>Remplace la commande nulle en cas d'irréalisabilité</x:v>
      </x:c>
    </x:row>
    <x:row r="8" ht="34" customHeight="1">
      <x:c r="A8" s="94" t="str">
        <x:v>REQ-02</x:v>
      </x:c>
      <x:c r="B8" s="94" t="str">
        <x:v>a</x:v>
      </x:c>
      <x:c r="C8" s="94" t="str">
        <x:v>VAL-02</x:v>
      </x:c>
      <x:c r="D8" s="94" t="str">
        <x:v>Cœur</x:v>
      </x:c>
      <x:c r="E8" s="94" t="str">
        <x:v>Latence d'activation du masque de défaut</x:v>
      </x:c>
      <x:c r="F8" s="94" t="str">
        <x:v>validation/run_validation_campaign.m</x:v>
      </x:c>
      <x:c r="G8" s="94" t="str">
        <x:v>FLT-FL, FLT-FR, FLT-RL, FLT-RR, FLT-ST</x:v>
      </x:c>
      <x:c r="H8" s="94" t="str">
        <x:v>&lt;= 10 ms après l'indicateur de défaut validé</x:v>
      </x:c>
      <x:c r="I8" s="94" t="str">
        <x:v>validation_summary.csv</x:v>
      </x:c>
      <x:c r="J8" s="94" t="str">
        <x:v>Automatisé</x:v>
      </x:c>
      <x:c r="K8" s="94" t="str">
        <x:v>G3</x:v>
      </x:c>
      <x:c r="L8" s="94" t="str">
        <x:v>Latence de détection mesurée séparément</x:v>
      </x:c>
    </x:row>
    <x:row r="9" ht="34" customHeight="1">
      <x:c r="A9" s="95" t="str">
        <x:v>REQ-02</x:v>
      </x:c>
      <x:c r="B9" s="95" t="str">
        <x:v>b</x:v>
      </x:c>
      <x:c r="C9" s="95" t="str">
        <x:v>VAL-03</x:v>
      </x:c>
      <x:c r="D9" s="95" t="str">
        <x:v>Cœur</x:v>
      </x:c>
      <x:c r="E9" s="95" t="str">
        <x:v>Établissement après défaut au mieux réalisable</x:v>
      </x:c>
      <x:c r="F9" s="95" t="str">
        <x:v>validation/run_validation_campaign.m</x:v>
      </x:c>
      <x:c r="G9" s="95" t="str">
        <x:v>FLT-FL, FLT-FR, FLT-RL, FLT-RR, FLT-ST</x:v>
      </x:c>
      <x:c r="H9" s="95" t="str">
        <x:v>90 % en 50 ms ; erreur &lt;=10 % pendant 100 ms</x:v>
      </x:c>
      <x:c r="I9" s="95" t="str">
        <x:v>*/tracking.png</x:v>
      </x:c>
      <x:c r="J9" s="95" t="str">
        <x:v>Automatisé</x:v>
      </x:c>
      <x:c r="K9" s="95" t="str">
        <x:v>G3</x:v>
      </x:c>
      <x:c r="L9" s="95" t="str">
        <x:v>Applicable dans l'enveloppe après défaut</x:v>
      </x:c>
    </x:row>
    <x:row r="10" ht="34" customHeight="1">
      <x:c r="A10" s="94" t="str">
        <x:v>REQ-02</x:v>
      </x:c>
      <x:c r="B10" s="94" t="str">
        <x:v>c</x:v>
      </x:c>
      <x:c r="C10" s="94" t="str">
        <x:v>VAL-04</x:v>
      </x:c>
      <x:c r="D10" s="94" t="str">
        <x:v>Cœur</x:v>
      </x:c>
      <x:c r="E10" s="94" t="str">
        <x:v>Continuité du lacet par rapport au véhicule nominal</x:v>
      </x:c>
      <x:c r="F10" s="94" t="str">
        <x:v>Futur essai comparatif véhicule</x:v>
      </x:c>
      <x:c r="G10" s="94" t="str">
        <x:v>Scénarios de défaut contre références nominales</x:v>
      </x:c>
      <x:c r="H10" s="94" t="str">
        <x:v>|r_defaut-r_nominal| &lt;= 0,05 rad/s pendant les 200 premières ms</x:v>
      </x:c>
      <x:c r="I10" s="94" t="str">
        <x:v>yaw_continuity.png</x:v>
      </x:c>
      <x:c r="J10" s="94" t="str">
        <x:v>Bloqué</x:v>
      </x:c>
      <x:c r="K10" s="94" t="str">
        <x:v>G3</x:v>
      </x:c>
      <x:c r="L10" s="94" t="str">
        <x:v>Nécessite une simulation véhicule avec masque</x:v>
      </x:c>
    </x:row>
    <x:row r="11" ht="34" customHeight="1">
      <x:c r="A11" s="95" t="str">
        <x:v>REQ-03</x:v>
      </x:c>
      <x:c r="B11" s="95" t="str">
        <x:v>a</x:v>
      </x:c>
      <x:c r="C11" s="95" t="str">
        <x:v>AUT-01</x:v>
      </x:c>
      <x:c r="D11" s="95" t="str">
        <x:v>Cœur</x:v>
      </x:c>
      <x:c r="E11" s="95" t="str">
        <x:v>Freinage rectiligne résiduel</x:v>
      </x:c>
      <x:c r="F11" s="95" t="str">
        <x:v>control_authority_report.m</x:v>
      </x:c>
      <x:c r="G11" s="95" t="str">
        <x:v>Pertes d'un frein</x:v>
      </x:c>
      <x:c r="H11" s="95" t="str">
        <x:v>&gt;=60 % du nominal ; |Mz| &lt;=5 % de l'autorité nominale en lacet</x:v>
      </x:c>
      <x:c r="I11" s="95" t="str">
        <x:v>authority_results.mat</x:v>
      </x:c>
      <x:c r="J11" s="95" t="str">
        <x:v>Automatisé</x:v>
      </x:c>
      <x:c r="K11" s="95" t="str">
        <x:v>G3</x:v>
      </x:c>
      <x:c r="L11" s="95" t="str">
        <x:v>Pire cas statique actuel : 70 %</x:v>
      </x:c>
    </x:row>
    <x:row r="12" ht="34" customHeight="1">
      <x:c r="A12" s="94" t="str">
        <x:v>REQ-03</x:v>
      </x:c>
      <x:c r="B12" s="94" t="str">
        <x:v>b</x:v>
      </x:c>
      <x:c r="C12" s="94" t="str">
        <x:v>AUT-02</x:v>
      </x:c>
      <x:c r="D12" s="94" t="str">
        <x:v>Cœur</x:v>
      </x:c>
      <x:c r="E12" s="94" t="str">
        <x:v>Direction résiduelle après perte d'un canal</x:v>
      </x:c>
      <x:c r="F12" s="94" t="str">
        <x:v>Futur essai de direction double</x:v>
      </x:c>
      <x:c r="G12" s="94" t="str">
        <x:v>Perte du canal de direction A/B</x:v>
      </x:c>
      <x:c r="H12" s="94" t="str">
        <x:v>&gt;=60 % de la plage d'angle et &gt;=60 % de la vitesse de direction</x:v>
      </x:c>
      <x:c r="I12" s="94" t="str">
        <x:v>steering_channel_authority.png</x:v>
      </x:c>
      <x:c r="J12" s="94" t="str">
        <x:v>Bloqué</x:v>
      </x:c>
      <x:c r="K12" s="94" t="str">
        <x:v>G3</x:v>
      </x:c>
      <x:c r="L12" s="94" t="str">
        <x:v>Le modèle actuel possède un seul actionneur de direction</x:v>
      </x:c>
    </x:row>
    <x:row r="13" ht="34" customHeight="1">
      <x:c r="A13" s="95" t="str">
        <x:v>REQ-03</x:v>
      </x:c>
      <x:c r="B13" s="95" t="str">
        <x:v>c-statique</x:v>
      </x:c>
      <x:c r="C13" s="95" t="str">
        <x:v>AUT-03</x:v>
      </x:c>
      <x:c r="D13" s="95" t="str">
        <x:v>Cœur</x:v>
      </x:c>
      <x:c r="E13" s="95" t="str">
        <x:v>Autorité corrective de lacet par freinage</x:v>
      </x:c>
      <x:c r="F13" s="95" t="str">
        <x:v>control_authority_report.m</x:v>
      </x:c>
      <x:c r="G13" s="95" t="str">
        <x:v>Perte de direction</x:v>
      </x:c>
      <x:c r="H13" s="95" t="str">
        <x:v>&gt;=15 % de l'autorité nominale combinée en lacet</x:v>
      </x:c>
      <x:c r="I13" s="95" t="str">
        <x:v>authority_results.mat</x:v>
      </x:c>
      <x:c r="J13" s="95" t="str">
        <x:v>Automatisé</x:v>
      </x:c>
      <x:c r="K13" s="95" t="str">
        <x:v>G3</x:v>
      </x:c>
      <x:c r="L13" s="95" t="str">
        <x:v>Estimation statique limitée par l'adhérence : 37,6 %</x:v>
      </x:c>
    </x:row>
    <x:row r="14" ht="34" customHeight="1">
      <x:c r="A14" s="94" t="str">
        <x:v>REQ-03</x:v>
      </x:c>
      <x:c r="B14" s="94" t="str">
        <x:v>c-dynamique</x:v>
      </x:c>
      <x:c r="C14" s="94" t="str">
        <x:v>VAL-05</x:v>
      </x:c>
      <x:c r="D14" s="94" t="str">
        <x:v>Cœur</x:v>
      </x:c>
      <x:c r="E14" s="94" t="str">
        <x:v>Suivi DBBS du lacet et de la trajectoire</x:v>
      </x:c>
      <x:c r="F14" s="94" t="str">
        <x:v>Futur essai DBBS en boucle fermée</x:v>
      </x:c>
      <x:c r="G14" s="94" t="str">
        <x:v>FLT-ST</x:v>
      </x:c>
      <x:c r="H14" s="94" t="str">
        <x:v>RMSE &lt;=0,03 rad/s ; trajectoire &lt;=0,50 m ; décélération &lt;=0,35 g</x:v>
      </x:c>
      <x:c r="I14" s="94" t="str">
        <x:v>dbbs_tracking.png</x:v>
      </x:c>
      <x:c r="J14" s="94" t="str">
        <x:v>Bloqué</x:v>
      </x:c>
      <x:c r="K14" s="94" t="str">
        <x:v>G3</x:v>
      </x:c>
      <x:c r="L14" s="94" t="str">
        <x:v>Nécessite un contrôleur supérieur de lacet/trajectoire</x:v>
      </x:c>
    </x:row>
    <x:row r="15" ht="34" customHeight="1">
      <x:c r="A15" s="95" t="str">
        <x:v>REQ-04</x:v>
      </x:c>
      <x:c r="B15" s="95" t="str">
        <x:v>-</x:v>
      </x:c>
      <x:c r="C15" s="95" t="str">
        <x:v>SAF-01</x:v>
      </x:c>
      <x:c r="D15" s="95" t="str">
        <x:v>Cœur</x:v>
      </x:c>
      <x:c r="E15" s="95" t="str">
        <x:v>Décomposition ASIL et défaillances dépendantes</x:v>
      </x:c>
      <x:c r="F15" s="95" t="str">
        <x:v>Liste de contrôle AMDEC/DFA</x:v>
      </x:c>
      <x:c r="G15" s="95" t="str">
        <x:v>Domaines d'architecture</x:v>
      </x:c>
      <x:c r="H15" s="95" t="str">
        <x:v>Chaque actionneur, ECU, capteur, alimentation et bus est cartographié sans dépendance commune inexpliquée</x:v>
      </x:c>
      <x:c r="I15" s="95" t="str">
        <x:v>FMEA_DFA.xlsx</x:v>
      </x:c>
      <x:c r="J15" s="95" t="str">
        <x:v>Revue manuelle</x:v>
      </x:c>
      <x:c r="K15" s="95" t="str">
        <x:v>G3</x:v>
      </x:c>
      <x:c r="L15" s="95" t="str">
        <x:v>La simulation ne démontre pas la conformité ASIL</x:v>
      </x:c>
    </x:row>
    <x:row r="16" ht="34" customHeight="1">
      <x:c r="A16" s="94" t="str">
        <x:v>REQ-05/06</x:v>
      </x:c>
      <x:c r="B16" s="94" t="str">
        <x:v>-</x:v>
      </x:c>
      <x:c r="C16" s="94" t="str">
        <x:v>EXT-01</x:v>
      </x:c>
      <x:c r="D16" s="94" t="str">
        <x:v>Étendu</x:v>
      </x:c>
      <x:c r="E16" s="94" t="str">
        <x:v>Double défaut et manœuvre normalisée</x:v>
      </x:c>
      <x:c r="F16" s="94" t="str">
        <x:v>Future campagne étendue</x:v>
      </x:c>
      <x:c r="G16" s="94" t="str">
        <x:v>Double défaut avec DLC ou adhérence dissymétrique</x:v>
      </x:c>
      <x:c r="H16" s="94" t="str">
        <x:v>Reconfigurer les actionneurs restants et mesurer lacet et trajectoire</x:v>
      </x:c>
      <x:c r="I16" s="94" t="str">
        <x:v>extended_results/</x:v>
      </x:c>
      <x:c r="J16" s="94" t="str">
        <x:v>Planifié</x:v>
      </x:c>
      <x:c r="K16" s="94" t="str">
        <x:v>G3/G4</x:v>
      </x:c>
      <x:c r="L16" s="94" t="str">
        <x:v>À commencer après validation des clauses principales</x:v>
      </x:c>
    </x:row>
  </x:sheetData>
  <x:mergeCells>
    <x:mergeCell ref="A1:L1"/>
    <x:mergeCell ref="A2:L2"/>
  </x:mergeCells>
  <x:conditionalFormatting sqref="J5:J16">
    <x:cfRule type="containsText" dxfId="19" priority="1" operator="containsText" text="Automatisé"/>
    <x:cfRule type="containsText" dxfId="20" priority="2" operator="containsText" text="Bloqué"/>
    <x:cfRule type="containsText" dxfId="21" priority="3" operator="containsText" text="Planifié"/>
    <x:cfRule type="containsText" dxfId="22" priority="4" operator="containsText" text="Revue manuelle"/>
  </x:conditionalFormatting>
  <x:dataValidations count="1">
    <x:dataValidation type="list" sqref="J5:J16">
      <x:formula1>"Automatisé,Bloqué,Revue manuelle,Planifié"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d1ee16b3cc4da2"/>
  </x:tableParts>
</x:worksheet>
</file>

<file path=xl/worksheets/sheet3.xml><?xml version="1.0" encoding="utf-8"?>
<x:worksheet xmlns:x="http://schemas.openxmlformats.org/spreadsheetml/2006/main">
  <x:sheetPr>
    <x:tabColor rgb="FF00A88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40" hidden="0" customWidth="1"/>
    <x:col min="4" max="4" width="20" hidden="0" customWidth="1"/>
    <x:col min="5" max="5" width="20" hidden="0" customWidth="1"/>
    <x:col min="6" max="6" width="25" hidden="0" customWidth="1"/>
    <x:col min="7" max="7" width="18" hidden="0" customWidth="1"/>
    <x:col min="8" max="8" width="18" hidden="0" customWidth="1"/>
    <x:col min="9" max="9" width="35" hidden="0" customWidth="1"/>
    <x:col min="10" max="10" width="16" hidden="0" customWidth="1"/>
  </x:cols>
  <x:sheetData>
    <x:row r="1">
      <x:c r="A1" s="88" t="str">
        <x:v>Catalogue des tests MATLAB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>
      <x:c r="A2" s="89" t="str">
        <x:v>Exécuter run_project_validation.m pour régénérer les preuves du modèle et de l'allocateur.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</x:row>
    <x:row r="4" ht="34" customHeight="1">
      <x:c r="A4" s="93" t="str">
        <x:v>ID du test</x:v>
      </x:c>
      <x:c r="B4" s="93" t="str">
        <x:v>Type</x:v>
      </x:c>
      <x:c r="C4" s="93" t="str">
        <x:v>Nom</x:v>
      </x:c>
      <x:c r="D4" s="93" t="str">
        <x:v>Demande Fx [N]</x:v>
      </x:c>
      <x:c r="E4" s="93" t="str">
        <x:v>Demande Mz [N m]</x:v>
      </x:c>
      <x:c r="F4" s="93" t="str">
        <x:v>Scénario de défaut</x:v>
      </x:c>
      <x:c r="G4" s="93" t="str">
        <x:v>Instant du défaut [s]</x:v>
      </x:c>
      <x:c r="H4" s="93" t="str">
        <x:v>Exigences</x:v>
      </x:c>
      <x:c r="I4" s="93" t="str">
        <x:v>Preuve principale</x:v>
      </x:c>
      <x:c r="J4" s="93" t="str">
        <x:v>État</x:v>
      </x:c>
      <x:c r="K4" s="90"/>
      <x:c r="L4" s="90"/>
    </x:row>
    <x:row r="5" ht="28" customHeight="1">
      <x:c r="A5" s="95" t="str">
        <x:v>UT-01</x:v>
      </x:c>
      <x:c r="B5" s="95" t="str">
        <x:v>Unitaire</x:v>
      </x:c>
      <x:c r="C5" s="95" t="str">
        <x:v>Suivi d'une demande réalisable</x:v>
      </x:c>
      <x:c r="D5" s="96"/>
      <x:c r="E5" s="96"/>
      <x:c r="F5" s="95" t="str">
        <x:v>nominal</x:v>
      </x:c>
      <x:c r="G5" s="98"/>
      <x:c r="H5" s="95" t="str">
        <x:v>REQ-01</x:v>
      </x:c>
      <x:c r="I5" s="95" t="str">
        <x:v>unit_test_results.csv</x:v>
      </x:c>
      <x:c r="J5" s="95" t="str">
        <x:v>Automatisé</x:v>
      </x:c>
      <x:c r="K5" s="90"/>
      <x:c r="L5" s="90"/>
    </x:row>
    <x:row r="6" ht="28" customHeight="1">
      <x:c r="A6" s="94" t="str">
        <x:v>UT-02</x:v>
      </x:c>
      <x:c r="B6" s="94" t="str">
        <x:v>Unitaire</x:v>
      </x:c>
      <x:c r="C6" s="94" t="str">
        <x:v>Limites de variation</x:v>
      </x:c>
      <x:c r="D6" s="97"/>
      <x:c r="E6" s="97"/>
      <x:c r="F6" s="94" t="str">
        <x:v>nominal</x:v>
      </x:c>
      <x:c r="G6" s="99"/>
      <x:c r="H6" s="94" t="str">
        <x:v>REQ-01</x:v>
      </x:c>
      <x:c r="I6" s="94" t="str">
        <x:v>unit_test_results.csv</x:v>
      </x:c>
      <x:c r="J6" s="94" t="str">
        <x:v>Automatisé</x:v>
      </x:c>
      <x:c r="K6" s="90"/>
      <x:c r="L6" s="90"/>
    </x:row>
    <x:row r="7" ht="28" customHeight="1">
      <x:c r="A7" s="95" t="str">
        <x:v>UT-03</x:v>
      </x:c>
      <x:c r="B7" s="95" t="str">
        <x:v>Unitaire</x:v>
      </x:c>
      <x:c r="C7" s="95" t="str">
        <x:v>Masques de défaut nommés</x:v>
      </x:c>
      <x:c r="D7" s="96"/>
      <x:c r="E7" s="96"/>
      <x:c r="F7" s="95" t="str">
        <x:v>tous les masques</x:v>
      </x:c>
      <x:c r="G7" s="98"/>
      <x:c r="H7" s="95" t="str">
        <x:v>REQ-02</x:v>
      </x:c>
      <x:c r="I7" s="95" t="str">
        <x:v>unit_test_results.csv</x:v>
      </x:c>
      <x:c r="J7" s="95" t="str">
        <x:v>Automatisé</x:v>
      </x:c>
      <x:c r="K7" s="90"/>
      <x:c r="L7" s="90"/>
    </x:row>
    <x:row r="8" ht="28" customHeight="1">
      <x:c r="A8" s="94" t="str">
        <x:v>UT-04</x:v>
      </x:c>
      <x:c r="B8" s="94" t="str">
        <x:v>Unitaire</x:v>
      </x:c>
      <x:c r="C8" s="94" t="str">
        <x:v>Autorité résiduelle statique</x:v>
      </x:c>
      <x:c r="D8" s="97"/>
      <x:c r="E8" s="97"/>
      <x:c r="F8" s="94" t="str">
        <x:v>perte d'un frein et de la direction</x:v>
      </x:c>
      <x:c r="G8" s="99"/>
      <x:c r="H8" s="94" t="str">
        <x:v>REQ-03</x:v>
      </x:c>
      <x:c r="I8" s="94" t="str">
        <x:v>unit_test_results.csv</x:v>
      </x:c>
      <x:c r="J8" s="94" t="str">
        <x:v>Automatisé</x:v>
      </x:c>
      <x:c r="K8" s="90"/>
      <x:c r="L8" s="90"/>
    </x:row>
    <x:row r="9" ht="28" customHeight="1">
      <x:c r="A9" s="95" t="str">
        <x:v>NOM-01</x:v>
      </x:c>
      <x:c r="B9" s="95" t="str">
        <x:v>Campagne</x:v>
      </x:c>
      <x:c r="C9" s="95" t="str">
        <x:v>Freinage rectiligne nominal</x:v>
      </x:c>
      <x:c r="D9" s="96" t="n">
        <x:v>-6000</x:v>
      </x:c>
      <x:c r="E9" s="96" t="n">
        <x:v>0</x:v>
      </x:c>
      <x:c r="F9" s="95" t="str">
        <x:v>nominal</x:v>
      </x:c>
      <x:c r="G9" s="98"/>
      <x:c r="H9" s="95" t="str">
        <x:v>REQ-01</x:v>
      </x:c>
      <x:c r="I9" s="95" t="str">
        <x:v>NOM-01/tracking.png</x:v>
      </x:c>
      <x:c r="J9" s="95" t="str">
        <x:v>Automatisé</x:v>
      </x:c>
      <x:c r="K9" s="90"/>
      <x:c r="L9" s="90"/>
    </x:row>
    <x:row r="10" ht="28" customHeight="1">
      <x:c r="A10" s="94" t="str">
        <x:v>NOM-02</x:v>
      </x:c>
      <x:c r="B10" s="94" t="str">
        <x:v>Campagne</x:v>
      </x:c>
      <x:c r="C10" s="94" t="str">
        <x:v>Freinage et lacet nominaux combinés</x:v>
      </x:c>
      <x:c r="D10" s="97" t="n">
        <x:v>-6000</x:v>
      </x:c>
      <x:c r="E10" s="97" t="n">
        <x:v>800</x:v>
      </x:c>
      <x:c r="F10" s="94" t="str">
        <x:v>nominal</x:v>
      </x:c>
      <x:c r="G10" s="99"/>
      <x:c r="H10" s="94" t="str">
        <x:v>REQ-01</x:v>
      </x:c>
      <x:c r="I10" s="94" t="str">
        <x:v>NOM-02/tracking.png</x:v>
      </x:c>
      <x:c r="J10" s="94" t="str">
        <x:v>Automatisé</x:v>
      </x:c>
      <x:c r="K10" s="90"/>
      <x:c r="L10" s="90"/>
    </x:row>
    <x:row r="11" ht="28" customHeight="1">
      <x:c r="A11" s="95" t="str">
        <x:v>NOM-03</x:v>
      </x:c>
      <x:c r="B11" s="95" t="str">
        <x:v>Campagne</x:v>
      </x:c>
      <x:c r="C11" s="95" t="str">
        <x:v>Référence pour la perte de direction</x:v>
      </x:c>
      <x:c r="D11" s="96" t="n">
        <x:v>-3000</x:v>
      </x:c>
      <x:c r="E11" s="96" t="n">
        <x:v>800</x:v>
      </x:c>
      <x:c r="F11" s="95" t="str">
        <x:v>nominal</x:v>
      </x:c>
      <x:c r="G11" s="98"/>
      <x:c r="H11" s="95" t="str">
        <x:v>REQ-02/03</x:v>
      </x:c>
      <x:c r="I11" s="95" t="str">
        <x:v>NOM-03/tracking.png</x:v>
      </x:c>
      <x:c r="J11" s="95" t="str">
        <x:v>Automatisé</x:v>
      </x:c>
      <x:c r="K11" s="90"/>
      <x:c r="L11" s="90"/>
    </x:row>
    <x:row r="12" ht="28" customHeight="1">
      <x:c r="A12" s="94" t="str">
        <x:v>CAP-01</x:v>
      </x:c>
      <x:c r="B12" s="94" t="str">
        <x:v>Campagne</x:v>
      </x:c>
      <x:c r="C12" s="94" t="str">
        <x:v>Demande de freinage irréalisable</x:v>
      </x:c>
      <x:c r="D12" s="97" t="n">
        <x:v>-1000000</x:v>
      </x:c>
      <x:c r="E12" s="97" t="n">
        <x:v>0</x:v>
      </x:c>
      <x:c r="F12" s="94" t="str">
        <x:v>nominal</x:v>
      </x:c>
      <x:c r="G12" s="99"/>
      <x:c r="H12" s="94" t="str">
        <x:v>REQ-01</x:v>
      </x:c>
      <x:c r="I12" s="94" t="str">
        <x:v>CAP-01/tracking.png</x:v>
      </x:c>
      <x:c r="J12" s="94" t="str">
        <x:v>Automatisé</x:v>
      </x:c>
      <x:c r="K12" s="90"/>
      <x:c r="L12" s="90"/>
    </x:row>
    <x:row r="13" ht="28" customHeight="1">
      <x:c r="A13" s="95" t="str">
        <x:v>FLT-FL</x:v>
      </x:c>
      <x:c r="B13" s="95" t="str">
        <x:v>Campagne</x:v>
      </x:c>
      <x:c r="C13" s="95" t="str">
        <x:v>Perte du frein avant gauche</x:v>
      </x:c>
      <x:c r="D13" s="96" t="n">
        <x:v>-6000</x:v>
      </x:c>
      <x:c r="E13" s="96" t="n">
        <x:v>0</x:v>
      </x:c>
      <x:c r="F13" s="95" t="str">
        <x:v>brake_fl_loss</x:v>
      </x:c>
      <x:c r="G13" s="98" t="n">
        <x:v>0.5</x:v>
      </x:c>
      <x:c r="H13" s="95" t="str">
        <x:v>REQ-01/02/03a</x:v>
      </x:c>
      <x:c r="I13" s="95" t="str">
        <x:v>FLT-FL/tracking.png</x:v>
      </x:c>
      <x:c r="J13" s="95" t="str">
        <x:v>Automatisé</x:v>
      </x:c>
      <x:c r="K13" s="90"/>
      <x:c r="L13" s="90"/>
    </x:row>
    <x:row r="14" ht="28" customHeight="1">
      <x:c r="A14" s="94" t="str">
        <x:v>FLT-FR</x:v>
      </x:c>
      <x:c r="B14" s="94" t="str">
        <x:v>Campagne</x:v>
      </x:c>
      <x:c r="C14" s="94" t="str">
        <x:v>Perte du frein avant droit</x:v>
      </x:c>
      <x:c r="D14" s="97" t="n">
        <x:v>-6000</x:v>
      </x:c>
      <x:c r="E14" s="97" t="n">
        <x:v>0</x:v>
      </x:c>
      <x:c r="F14" s="94" t="str">
        <x:v>brake_fr_loss</x:v>
      </x:c>
      <x:c r="G14" s="99" t="n">
        <x:v>0.5</x:v>
      </x:c>
      <x:c r="H14" s="94" t="str">
        <x:v>REQ-01/02/03a</x:v>
      </x:c>
      <x:c r="I14" s="94" t="str">
        <x:v>FLT-FR/tracking.png</x:v>
      </x:c>
      <x:c r="J14" s="94" t="str">
        <x:v>Automatisé</x:v>
      </x:c>
      <x:c r="K14" s="90"/>
      <x:c r="L14" s="90"/>
    </x:row>
    <x:row r="15" ht="28" customHeight="1">
      <x:c r="A15" s="95" t="str">
        <x:v>FLT-RL</x:v>
      </x:c>
      <x:c r="B15" s="95" t="str">
        <x:v>Campagne</x:v>
      </x:c>
      <x:c r="C15" s="95" t="str">
        <x:v>Perte du frein arrière gauche</x:v>
      </x:c>
      <x:c r="D15" s="96" t="n">
        <x:v>-6000</x:v>
      </x:c>
      <x:c r="E15" s="96" t="n">
        <x:v>0</x:v>
      </x:c>
      <x:c r="F15" s="95" t="str">
        <x:v>brake_rl_loss</x:v>
      </x:c>
      <x:c r="G15" s="98" t="n">
        <x:v>0.5</x:v>
      </x:c>
      <x:c r="H15" s="95" t="str">
        <x:v>REQ-01/02/03a</x:v>
      </x:c>
      <x:c r="I15" s="95" t="str">
        <x:v>FLT-RL/tracking.png</x:v>
      </x:c>
      <x:c r="J15" s="95" t="str">
        <x:v>Automatisé</x:v>
      </x:c>
      <x:c r="K15" s="90"/>
      <x:c r="L15" s="90"/>
    </x:row>
    <x:row r="16" ht="28" customHeight="1">
      <x:c r="A16" s="94" t="str">
        <x:v>FLT-RR</x:v>
      </x:c>
      <x:c r="B16" s="94" t="str">
        <x:v>Campagne</x:v>
      </x:c>
      <x:c r="C16" s="94" t="str">
        <x:v>Perte du frein arrière droit</x:v>
      </x:c>
      <x:c r="D16" s="97" t="n">
        <x:v>-6000</x:v>
      </x:c>
      <x:c r="E16" s="97" t="n">
        <x:v>0</x:v>
      </x:c>
      <x:c r="F16" s="94" t="str">
        <x:v>brake_rr_loss</x:v>
      </x:c>
      <x:c r="G16" s="99" t="n">
        <x:v>0.5</x:v>
      </x:c>
      <x:c r="H16" s="94" t="str">
        <x:v>REQ-01/02/03a</x:v>
      </x:c>
      <x:c r="I16" s="94" t="str">
        <x:v>FLT-RR/tracking.png</x:v>
      </x:c>
      <x:c r="J16" s="94" t="str">
        <x:v>Automatisé</x:v>
      </x:c>
      <x:c r="K16" s="90"/>
      <x:c r="L16" s="90"/>
    </x:row>
    <x:row r="17" ht="28" customHeight="1">
      <x:c r="A17" s="95" t="str">
        <x:v>FLT-ST</x:v>
      </x:c>
      <x:c r="B17" s="95" t="str">
        <x:v>Campagne</x:v>
      </x:c>
      <x:c r="C17" s="95" t="str">
        <x:v>Perte complète de direction / DBBS</x:v>
      </x:c>
      <x:c r="D17" s="96" t="n">
        <x:v>-3000</x:v>
      </x:c>
      <x:c r="E17" s="96" t="n">
        <x:v>800</x:v>
      </x:c>
      <x:c r="F17" s="95" t="str">
        <x:v>steering_loss</x:v>
      </x:c>
      <x:c r="G17" s="98" t="n">
        <x:v>0.5</x:v>
      </x:c>
      <x:c r="H17" s="95" t="str">
        <x:v>REQ-01/02/03c</x:v>
      </x:c>
      <x:c r="I17" s="95" t="str">
        <x:v>FLT-ST/tracking.png</x:v>
      </x:c>
      <x:c r="J17" s="95" t="str">
        <x:v>Automatisé</x:v>
      </x:c>
      <x:c r="K17" s="90"/>
      <x:c r="L17" s="90"/>
    </x:row>
    <x:row r="18" ht="28" customHeight="1">
      <x:c r="A18" s="94" t="str">
        <x:v>VAL-04</x:v>
      </x:c>
      <x:c r="B18" s="94" t="str">
        <x:v>Véhicule</x:v>
      </x:c>
      <x:c r="C18" s="94" t="str">
        <x:v>Comparaison de continuité du lacet</x:v>
      </x:c>
      <x:c r="D18" s="97"/>
      <x:c r="E18" s="97"/>
      <x:c r="F18" s="94" t="str">
        <x:v>défauts simples</x:v>
      </x:c>
      <x:c r="G18" s="99"/>
      <x:c r="H18" s="94" t="str">
        <x:v>REQ-02</x:v>
      </x:c>
      <x:c r="I18" s="94" t="str">
        <x:v>yaw_continuity.png</x:v>
      </x:c>
      <x:c r="J18" s="94" t="str">
        <x:v>Bloqué</x:v>
      </x:c>
      <x:c r="K18" s="90"/>
      <x:c r="L18" s="90"/>
    </x:row>
    <x:row r="19" ht="28" customHeight="1">
      <x:c r="A19" s="95" t="str">
        <x:v>VAL-05</x:v>
      </x:c>
      <x:c r="B19" s="95" t="str">
        <x:v>Véhicule</x:v>
      </x:c>
      <x:c r="C19" s="95" t="str">
        <x:v>Suivi de trajectoire DBBS en boucle fermée</x:v>
      </x:c>
      <x:c r="D19" s="96"/>
      <x:c r="E19" s="96"/>
      <x:c r="F19" s="95" t="str">
        <x:v>steering_loss</x:v>
      </x:c>
      <x:c r="G19" s="98"/>
      <x:c r="H19" s="95" t="str">
        <x:v>REQ-03c</x:v>
      </x:c>
      <x:c r="I19" s="95" t="str">
        <x:v>dbbs_tracking.png</x:v>
      </x:c>
      <x:c r="J19" s="95" t="str">
        <x:v>Bloqué</x:v>
      </x:c>
      <x:c r="K19" s="90"/>
      <x:c r="L19" s="90"/>
    </x:row>
    <x:row r="20" ht="28" customHeight="1">
      <x:c r="A20" s="94" t="str">
        <x:v>EXT-01</x:v>
      </x:c>
      <x:c r="B20" s="94" t="str">
        <x:v>Étendu</x:v>
      </x:c>
      <x:c r="C20" s="94" t="str">
        <x:v>Double défaut et manœuvre normalisée</x:v>
      </x:c>
      <x:c r="D20" s="97"/>
      <x:c r="E20" s="97"/>
      <x:c r="F20" s="94" t="str">
        <x:v>double défaut</x:v>
      </x:c>
      <x:c r="G20" s="99"/>
      <x:c r="H20" s="94" t="str">
        <x:v>REQ-05/06</x:v>
      </x:c>
      <x:c r="I20" s="94" t="str">
        <x:v>extended_results/</x:v>
      </x:c>
      <x:c r="J20" s="94" t="str">
        <x:v>Planifié</x:v>
      </x:c>
      <x:c r="K20" s="90"/>
      <x:c r="L20" s="90"/>
    </x:row>
    <x:row r="21" ht="34" customHeight="1">
      <x:c r="A21" s="124" t="str">
        <x:v>PLANT-BRK-01</x:v>
      </x:c>
      <x:c r="B21" s="124" t="str">
        <x:v>Modèle</x:v>
      </x:c>
      <x:c r="C21" s="124" t="str">
        <x:v>Freinage rectiligne symétrique</x:v>
      </x:c>
      <x:c r="D21" s="124" t="n">
        <x:v>-6000</x:v>
      </x:c>
      <x:c r="E21" s="124" t="n">
        <x:v>0</x:v>
      </x:c>
      <x:c r="F21" s="124" t="str">
        <x:v>allocateur contourné</x:v>
      </x:c>
      <x:c r="G21" s="124"/>
      <x:c r="H21" s="124" t="str">
        <x:v>Modèle G2</x:v>
      </x:c>
      <x:c r="I21" s="124" t="str">
        <x:v>plant/PLANT-BRK-01/vehicle_response.png</x:v>
      </x:c>
      <x:c r="J21" s="124" t="str">
        <x:v>Automatisé</x:v>
      </x:c>
    </x:row>
    <x:row r="22" ht="34" customHeight="1">
      <x:c r="A22" s="125" t="str">
        <x:v>PLANT-STR-01</x:v>
      </x:c>
      <x:c r="B22" s="125" t="str">
        <x:v>Modèle</x:v>
      </x:c>
      <x:c r="C22" s="125" t="str">
        <x:v>Échelon positif de direction de un degré</x:v>
      </x:c>
      <x:c r="D22" s="125"/>
      <x:c r="E22" s="125"/>
      <x:c r="F22" s="125" t="str">
        <x:v>allocateur contourné</x:v>
      </x:c>
      <x:c r="G22" s="125"/>
      <x:c r="H22" s="125" t="str">
        <x:v>Modèle G2</x:v>
      </x:c>
      <x:c r="I22" s="125" t="str">
        <x:v>plant/PLANT-STR-01/vehicle_response.png</x:v>
      </x:c>
      <x:c r="J22" s="125" t="str">
        <x:v>Automatisé</x:v>
      </x:c>
    </x:row>
    <x:row r="23" ht="34" customHeight="1">
      <x:c r="A23" s="124" t="str">
        <x:v>PLANT-CMB-01</x:v>
      </x:c>
      <x:c r="B23" s="124" t="str">
        <x:v>Modèle</x:v>
      </x:c>
      <x:c r="C23" s="124" t="str">
        <x:v>Freinage et direction combinés</x:v>
      </x:c>
      <x:c r="D23" s="124" t="n">
        <x:v>-4000</x:v>
      </x:c>
      <x:c r="E23" s="124"/>
      <x:c r="F23" s="124" t="str">
        <x:v>allocateur contourné</x:v>
      </x:c>
      <x:c r="G23" s="124"/>
      <x:c r="H23" s="124" t="str">
        <x:v>Modèle G2</x:v>
      </x:c>
      <x:c r="I23" s="124" t="str">
        <x:v>plant/PLANT-CMB-01/vehicle_response.png</x:v>
      </x:c>
      <x:c r="J23" s="124" t="str">
        <x:v>Automatisé</x:v>
      </x:c>
    </x:row>
  </x:sheetData>
  <x:mergeCells>
    <x:mergeCell ref="A1:J1"/>
    <x:mergeCell ref="A2:J2"/>
  </x:mergeCells>
  <x:conditionalFormatting sqref="J5:J20">
    <x:cfRule type="containsText" dxfId="23" priority="1" operator="containsText" text="Automatisé"/>
    <x:cfRule type="containsText" dxfId="24" priority="2" operator="containsText" text="Bloqué"/>
    <x:cfRule type="containsText" dxfId="25" priority="3" operator="containsText" text="Planifié"/>
  </x:conditionalFormatting>
  <x:conditionalFormatting sqref="J21:J23">
    <x:cfRule type="containsText" dxfId="26" priority="4" operator="containsText" text="Automatisé"/>
  </x:conditionalFormatting>
  <x:pageMargins left="0.7" right="0.7" top="0.75" bottom="0.75" header="0.3" footer="0.3"/>
  <x:tableParts count="1">
    <x:tablePart xmlns:r="http://schemas.openxmlformats.org/officeDocument/2006/relationships" r:id="R9582a391c9c5472d"/>
  </x:tableParts>
</x:worksheet>
</file>